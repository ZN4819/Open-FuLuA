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960" yWindow="-120" windowWidth="29040" windowHeight="15720" tabRatio="943" firstSheet="0" activeTab="9" autoFilterDateGrouping="1"/>
  </bookViews>
  <sheets>
    <sheet xmlns:r="http://schemas.openxmlformats.org/officeDocument/2006/relationships" name="整体测评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1物理和环境安全" sheetId="3" state="visible" r:id="rId3"/>
    <sheet xmlns:r="http://schemas.openxmlformats.org/officeDocument/2006/relationships" name="2网络和通信安全" sheetId="4" state="visible" r:id="rId4"/>
    <sheet xmlns:r="http://schemas.openxmlformats.org/officeDocument/2006/relationships" name="3设备和计算安全" sheetId="5" state="visible" r:id="rId5"/>
    <sheet xmlns:r="http://schemas.openxmlformats.org/officeDocument/2006/relationships" name="4应用和数据安全" sheetId="6" state="visible" r:id="rId6"/>
    <sheet xmlns:r="http://schemas.openxmlformats.org/officeDocument/2006/relationships" name="5管理制度" sheetId="7" state="visible" r:id="rId7"/>
    <sheet xmlns:r="http://schemas.openxmlformats.org/officeDocument/2006/relationships" name="6人员管理" sheetId="8" state="visible" r:id="rId8"/>
    <sheet xmlns:r="http://schemas.openxmlformats.org/officeDocument/2006/relationships" name="7建设运行" sheetId="9" state="visible" r:id="rId9"/>
    <sheet xmlns:r="http://schemas.openxmlformats.org/officeDocument/2006/relationships" name="8应急处置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_ "/>
    <numFmt numFmtId="165" formatCode="0.0000_);[Red]\(0.0000\)"/>
    <numFmt numFmtId="166" formatCode="0.0_);[Red]\(0.0\)"/>
    <numFmt numFmtId="167" formatCode="0_);[Red]\(0\)"/>
  </numFmts>
  <fonts count="2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b val="1"/>
      <color theme="1"/>
      <sz val="10.5"/>
    </font>
    <font>
      <name val="宋体"/>
      <charset val="134"/>
      <b val="1"/>
      <color rgb="FF000000"/>
      <sz val="10.5"/>
    </font>
    <font>
      <name val="宋体"/>
      <charset val="134"/>
      <color theme="1"/>
      <sz val="10.5"/>
    </font>
    <font>
      <name val="宋体"/>
      <charset val="134"/>
      <b val="1"/>
      <color theme="1"/>
      <sz val="11"/>
    </font>
    <font>
      <name val="等线"/>
      <charset val="134"/>
      <color rgb="FFFF0000"/>
      <sz val="11"/>
      <scheme val="minor"/>
    </font>
    <font>
      <name val="宋体"/>
      <charset val="134"/>
      <sz val="10.5"/>
    </font>
    <font>
      <name val="等线"/>
      <charset val="134"/>
      <color theme="1"/>
      <sz val="11"/>
      <scheme val="minor"/>
    </font>
    <font>
      <name val="宋体"/>
      <charset val="134"/>
      <b val="1"/>
      <color rgb="FF000000"/>
      <sz val="12"/>
    </font>
    <font>
      <name val="宋体"/>
      <charset val="134"/>
      <b val="1"/>
      <color rgb="FF000000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0.5"/>
    </font>
    <font>
      <name val="Times New Roman"/>
      <family val="1"/>
      <color theme="1"/>
      <sz val="10.5"/>
    </font>
    <font>
      <name val="宋体"/>
      <charset val="134"/>
      <family val="3"/>
      <b val="1"/>
      <color theme="1"/>
      <sz val="10.5"/>
    </font>
    <font>
      <name val="Times New Roman"/>
      <family val="1"/>
      <b val="1"/>
      <color theme="1"/>
      <sz val="10.5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1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3999145481734672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3999145481734672"/>
        <bgColor indexed="64"/>
      </patternFill>
    </fill>
    <fill>
      <patternFill patternType="solid">
        <fgColor theme="9" tint="0.7998901333658864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7" tint="0.799890133365886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8" tint="0.3998840296639912"/>
        <bgColor indexed="64"/>
      </patternFill>
    </fill>
    <fill>
      <patternFill patternType="solid">
        <fgColor theme="7" tint="0.3998840296639912"/>
        <bgColor indexed="64"/>
      </patternFill>
    </fill>
    <fill>
      <patternFill patternType="solid">
        <fgColor theme="9" tint="0.3998840296639912"/>
        <bgColor indexed="64"/>
      </patternFill>
    </fill>
    <fill>
      <patternFill patternType="solid">
        <fgColor theme="5" tint="0.399884029663991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8" fillId="0" borderId="0"/>
    <xf numFmtId="0" fontId="8" fillId="0" borderId="0"/>
  </cellStyleXfs>
  <cellXfs count="285">
    <xf numFmtId="0" fontId="0" fillId="0" borderId="0" pivotButton="0" quotePrefix="0" xfId="0"/>
    <xf numFmtId="0" fontId="1" fillId="0" borderId="0" pivotButton="0" quotePrefix="0" xfId="0"/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3" fillId="5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3" fillId="6" borderId="1" applyAlignment="1" applyProtection="1" pivotButton="0" quotePrefix="0" xfId="0">
      <alignment horizontal="center" vertical="center" wrapText="1"/>
      <protection locked="0" hidden="0"/>
    </xf>
    <xf numFmtId="0" fontId="4" fillId="6" borderId="2" applyAlignment="1" applyProtection="1" pivotButton="0" quotePrefix="0" xfId="0">
      <alignment horizontal="justify" vertical="center" wrapText="1"/>
      <protection locked="0" hidden="0"/>
    </xf>
    <xf numFmtId="0" fontId="1" fillId="0" borderId="0" applyProtection="1" pivotButton="0" quotePrefix="0" xfId="0">
      <protection locked="0" hidden="0"/>
    </xf>
    <xf numFmtId="0" fontId="1" fillId="7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13" borderId="1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1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9" borderId="0" pivotButton="0" quotePrefix="0" xfId="0"/>
    <xf numFmtId="0" fontId="1" fillId="15" borderId="0" pivotButton="0" quotePrefix="0" xfId="0"/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16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5" fontId="1" fillId="1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165" fontId="1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165" fontId="1" fillId="1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165" fontId="4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165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center" wrapText="1"/>
    </xf>
    <xf numFmtId="0" fontId="1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165" fontId="4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 wrapText="1"/>
    </xf>
    <xf numFmtId="165" fontId="4" fillId="20" borderId="1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/>
    </xf>
    <xf numFmtId="165" fontId="1" fillId="1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6" fontId="1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66" fontId="1" fillId="1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166" fontId="1" fillId="12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center" vertical="center"/>
    </xf>
    <xf numFmtId="166" fontId="1" fillId="17" borderId="1" applyAlignment="1" pivotButton="0" quotePrefix="0" xfId="0">
      <alignment horizontal="center" vertical="center"/>
    </xf>
    <xf numFmtId="166" fontId="1" fillId="18" borderId="1" applyAlignment="1" pivotButton="0" quotePrefix="0" xfId="0">
      <alignment horizontal="center" vertical="center"/>
    </xf>
    <xf numFmtId="166" fontId="1" fillId="19" borderId="1" applyAlignment="1" pivotButton="0" quotePrefix="0" xfId="0">
      <alignment horizontal="center" vertical="center"/>
    </xf>
    <xf numFmtId="166" fontId="1" fillId="20" borderId="1" applyAlignment="1" pivotButton="0" quotePrefix="0" xfId="0">
      <alignment horizontal="center" vertical="center"/>
    </xf>
    <xf numFmtId="166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167" fontId="1" fillId="15" borderId="1" applyAlignment="1" pivotButton="0" quotePrefix="0" xfId="0">
      <alignment horizontal="center" vertical="center"/>
    </xf>
    <xf numFmtId="0" fontId="1" fillId="15" borderId="1" pivotButton="0" quotePrefix="0" xfId="0"/>
    <xf numFmtId="0" fontId="1" fillId="15" borderId="0" applyAlignment="1" pivotButton="0" quotePrefix="0" xfId="0">
      <alignment horizontal="center"/>
    </xf>
    <xf numFmtId="0" fontId="1" fillId="9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vertical="center"/>
    </xf>
    <xf numFmtId="0" fontId="12" fillId="9" borderId="1" applyAlignment="1" applyProtection="1" pivotButton="0" quotePrefix="0" xfId="0">
      <alignment horizontal="center" vertical="center" wrapText="1"/>
      <protection locked="0" hidden="0"/>
    </xf>
    <xf numFmtId="0" fontId="3" fillId="16" borderId="1" applyAlignment="1" pivotButton="0" quotePrefix="0" xfId="0">
      <alignment horizontal="center" vertical="center" wrapText="1"/>
    </xf>
    <xf numFmtId="0" fontId="1" fillId="15" borderId="6" applyAlignment="1" pivotButton="0" quotePrefix="0" xfId="0">
      <alignment horizontal="center" vertical="center"/>
    </xf>
    <xf numFmtId="0" fontId="1" fillId="15" borderId="8" applyAlignment="1" pivotButton="0" quotePrefix="0" xfId="0">
      <alignment horizontal="center" vertical="center"/>
    </xf>
    <xf numFmtId="0" fontId="1" fillId="15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165" fontId="3" fillId="16" borderId="1" applyAlignment="1" pivotButton="0" quotePrefix="0" xfId="0">
      <alignment horizontal="center" vertical="center" wrapText="1"/>
    </xf>
    <xf numFmtId="166" fontId="5" fillId="16" borderId="7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top" wrapText="1"/>
    </xf>
    <xf numFmtId="165" fontId="1" fillId="14" borderId="3" applyAlignment="1" pivotButton="0" quotePrefix="0" xfId="0">
      <alignment horizontal="center" vertical="center"/>
    </xf>
    <xf numFmtId="165" fontId="1" fillId="14" borderId="5" applyAlignment="1" pivotButton="0" quotePrefix="0" xfId="0">
      <alignment horizontal="center" vertical="center"/>
    </xf>
    <xf numFmtId="165" fontId="1" fillId="14" borderId="4" applyAlignment="1" pivotButton="0" quotePrefix="0" xfId="0">
      <alignment horizontal="center" vertical="center"/>
    </xf>
    <xf numFmtId="165" fontId="1" fillId="13" borderId="3" applyAlignment="1" pivotButton="0" quotePrefix="0" xfId="0">
      <alignment horizontal="center" vertical="center"/>
    </xf>
    <xf numFmtId="165" fontId="1" fillId="13" borderId="5" applyAlignment="1" pivotButton="0" quotePrefix="0" xfId="0">
      <alignment horizontal="center" vertical="center"/>
    </xf>
    <xf numFmtId="165" fontId="1" fillId="13" borderId="4" applyAlignment="1" pivotButton="0" quotePrefix="0" xfId="0">
      <alignment horizontal="center" vertical="center"/>
    </xf>
    <xf numFmtId="165" fontId="1" fillId="12" borderId="3" applyAlignment="1" pivotButton="0" quotePrefix="0" xfId="0">
      <alignment horizontal="center" vertical="center"/>
    </xf>
    <xf numFmtId="165" fontId="1" fillId="12" borderId="5" applyAlignment="1" pivotButton="0" quotePrefix="0" xfId="0">
      <alignment horizontal="center" vertical="center"/>
    </xf>
    <xf numFmtId="165" fontId="1" fillId="12" borderId="4" applyAlignment="1" pivotButton="0" quotePrefix="0" xfId="0">
      <alignment horizontal="center" vertical="center"/>
    </xf>
    <xf numFmtId="165" fontId="1" fillId="7" borderId="3" applyAlignment="1" pivotButton="0" quotePrefix="0" xfId="0">
      <alignment horizontal="center" vertical="center"/>
    </xf>
    <xf numFmtId="165" fontId="1" fillId="7" borderId="5" applyAlignment="1" pivotButton="0" quotePrefix="0" xfId="0">
      <alignment horizontal="center" vertical="center"/>
    </xf>
    <xf numFmtId="165" fontId="1" fillId="7" borderId="4" applyAlignment="1" pivotButton="0" quotePrefix="0" xfId="0">
      <alignment horizontal="center" vertical="center"/>
    </xf>
    <xf numFmtId="165" fontId="1" fillId="17" borderId="3" applyAlignment="1" pivotButton="0" quotePrefix="0" xfId="0">
      <alignment horizontal="center" vertical="center"/>
    </xf>
    <xf numFmtId="165" fontId="1" fillId="17" borderId="5" applyAlignment="1" pivotButton="0" quotePrefix="0" xfId="0">
      <alignment horizontal="center" vertical="center"/>
    </xf>
    <xf numFmtId="165" fontId="1" fillId="17" borderId="4" applyAlignment="1" pivotButton="0" quotePrefix="0" xfId="0">
      <alignment horizontal="center" vertical="center"/>
    </xf>
    <xf numFmtId="165" fontId="1" fillId="18" borderId="3" applyAlignment="1" pivotButton="0" quotePrefix="0" xfId="0">
      <alignment horizontal="center" vertical="center"/>
    </xf>
    <xf numFmtId="165" fontId="1" fillId="18" borderId="5" applyAlignment="1" pivotButton="0" quotePrefix="0" xfId="0">
      <alignment horizontal="center" vertical="center"/>
    </xf>
    <xf numFmtId="165" fontId="1" fillId="18" borderId="4" applyAlignment="1" pivotButton="0" quotePrefix="0" xfId="0">
      <alignment horizontal="center" vertical="center"/>
    </xf>
    <xf numFmtId="165" fontId="1" fillId="19" borderId="3" applyAlignment="1" pivotButton="0" quotePrefix="0" xfId="0">
      <alignment horizontal="center" vertical="center"/>
    </xf>
    <xf numFmtId="165" fontId="1" fillId="19" borderId="5" applyAlignment="1" pivotButton="0" quotePrefix="0" xfId="0">
      <alignment horizontal="center" vertical="center"/>
    </xf>
    <xf numFmtId="165" fontId="1" fillId="20" borderId="5" applyAlignment="1" pivotButton="0" quotePrefix="0" xfId="0">
      <alignment horizontal="center" vertical="center"/>
    </xf>
    <xf numFmtId="165" fontId="1" fillId="20" borderId="4" applyAlignment="1" pivotButton="0" quotePrefix="0" xfId="0">
      <alignment horizontal="center" vertical="center"/>
    </xf>
    <xf numFmtId="167" fontId="1" fillId="17" borderId="3" applyAlignment="1" pivotButton="0" quotePrefix="0" xfId="0">
      <alignment horizontal="center" vertical="center"/>
    </xf>
    <xf numFmtId="167" fontId="1" fillId="17" borderId="5" applyAlignment="1" pivotButton="0" quotePrefix="0" xfId="0">
      <alignment horizontal="center" vertical="center"/>
    </xf>
    <xf numFmtId="167" fontId="1" fillId="17" borderId="4" applyAlignment="1" pivotButton="0" quotePrefix="0" xfId="0">
      <alignment horizontal="center" vertical="center"/>
    </xf>
    <xf numFmtId="167" fontId="1" fillId="18" borderId="3" applyAlignment="1" pivotButton="0" quotePrefix="0" xfId="0">
      <alignment horizontal="center" vertical="center"/>
    </xf>
    <xf numFmtId="167" fontId="1" fillId="18" borderId="5" applyAlignment="1" pivotButton="0" quotePrefix="0" xfId="0">
      <alignment horizontal="center" vertical="center"/>
    </xf>
    <xf numFmtId="167" fontId="1" fillId="18" borderId="4" applyAlignment="1" pivotButton="0" quotePrefix="0" xfId="0">
      <alignment horizontal="center" vertical="center"/>
    </xf>
    <xf numFmtId="167" fontId="1" fillId="19" borderId="3" applyAlignment="1" pivotButton="0" quotePrefix="0" xfId="0">
      <alignment horizontal="center" vertical="center"/>
    </xf>
    <xf numFmtId="167" fontId="1" fillId="19" borderId="5" applyAlignment="1" pivotButton="0" quotePrefix="0" xfId="0">
      <alignment horizontal="center" vertical="center"/>
    </xf>
    <xf numFmtId="167" fontId="1" fillId="20" borderId="5" applyAlignment="1" pivotButton="0" quotePrefix="0" xfId="0">
      <alignment horizontal="center" vertical="center"/>
    </xf>
    <xf numFmtId="167" fontId="1" fillId="20" borderId="4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top"/>
    </xf>
    <xf numFmtId="2" fontId="1" fillId="0" borderId="6" applyAlignment="1" pivotButton="0" quotePrefix="0" xfId="0">
      <alignment horizontal="center" vertical="center"/>
    </xf>
    <xf numFmtId="2" fontId="1" fillId="0" borderId="7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 wrapText="1"/>
    </xf>
    <xf numFmtId="167" fontId="1" fillId="14" borderId="3" applyAlignment="1" pivotButton="0" quotePrefix="0" xfId="0">
      <alignment horizontal="center" vertical="center"/>
    </xf>
    <xf numFmtId="167" fontId="1" fillId="14" borderId="5" applyAlignment="1" pivotButton="0" quotePrefix="0" xfId="0">
      <alignment horizontal="center" vertical="center"/>
    </xf>
    <xf numFmtId="167" fontId="1" fillId="14" borderId="4" applyAlignment="1" pivotButton="0" quotePrefix="0" xfId="0">
      <alignment horizontal="center" vertical="center"/>
    </xf>
    <xf numFmtId="167" fontId="1" fillId="13" borderId="3" applyAlignment="1" pivotButton="0" quotePrefix="0" xfId="0">
      <alignment horizontal="center" vertical="center"/>
    </xf>
    <xf numFmtId="167" fontId="1" fillId="13" borderId="5" applyAlignment="1" pivotButton="0" quotePrefix="0" xfId="0">
      <alignment horizontal="center" vertical="center"/>
    </xf>
    <xf numFmtId="167" fontId="1" fillId="13" borderId="4" applyAlignment="1" pivotButton="0" quotePrefix="0" xfId="0">
      <alignment horizontal="center" vertical="center"/>
    </xf>
    <xf numFmtId="167" fontId="1" fillId="12" borderId="3" applyAlignment="1" pivotButton="0" quotePrefix="0" xfId="0">
      <alignment horizontal="center" vertical="center"/>
    </xf>
    <xf numFmtId="167" fontId="1" fillId="12" borderId="5" applyAlignment="1" pivotButton="0" quotePrefix="0" xfId="0">
      <alignment horizontal="center" vertical="center"/>
    </xf>
    <xf numFmtId="167" fontId="1" fillId="12" borderId="4" applyAlignment="1" pivotButton="0" quotePrefix="0" xfId="0">
      <alignment horizontal="center" vertical="center"/>
    </xf>
    <xf numFmtId="167" fontId="1" fillId="7" borderId="3" applyAlignment="1" pivotButton="0" quotePrefix="0" xfId="0">
      <alignment horizontal="center" vertical="center"/>
    </xf>
    <xf numFmtId="167" fontId="1" fillId="7" borderId="5" applyAlignment="1" pivotButton="0" quotePrefix="0" xfId="0">
      <alignment horizontal="center" vertical="center"/>
    </xf>
    <xf numFmtId="167" fontId="1" fillId="7" borderId="4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0" fontId="1" fillId="9" borderId="6" applyAlignment="1" pivotButton="0" quotePrefix="0" xfId="0">
      <alignment horizontal="center" vertical="center"/>
    </xf>
    <xf numFmtId="0" fontId="1" fillId="9" borderId="8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0" fontId="1" fillId="9" borderId="7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9" borderId="11" applyAlignment="1" pivotButton="0" quotePrefix="0" xfId="0">
      <alignment horizontal="center" vertical="center"/>
    </xf>
    <xf numFmtId="0" fontId="1" fillId="9" borderId="10" applyAlignment="1" pivotButton="0" quotePrefix="0" xfId="0">
      <alignment horizontal="center" vertical="center"/>
    </xf>
    <xf numFmtId="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3" fillId="2" borderId="2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17" fillId="8" borderId="1" applyAlignment="1" applyProtection="1" pivotButton="0" quotePrefix="0" xfId="0">
      <alignment horizontal="center" vertical="center" wrapText="1"/>
      <protection locked="0" hidden="0"/>
    </xf>
    <xf numFmtId="0" fontId="12" fillId="10" borderId="1" applyAlignment="1" applyProtection="1" pivotButton="0" quotePrefix="0" xfId="0">
      <alignment horizontal="center" vertical="center"/>
      <protection locked="0" hidden="0"/>
    </xf>
    <xf numFmtId="0" fontId="13" fillId="10" borderId="1" applyAlignment="1" applyProtection="1" pivotButton="0" quotePrefix="0" xfId="0">
      <alignment horizontal="center" vertical="center" wrapText="1"/>
      <protection locked="0" hidden="0"/>
    </xf>
    <xf numFmtId="0" fontId="13" fillId="9" borderId="1" applyAlignment="1" applyProtection="1" pivotButton="0" quotePrefix="0" xfId="0">
      <alignment horizontal="center" vertical="center" wrapText="1"/>
      <protection locked="0" hidden="0"/>
    </xf>
    <xf numFmtId="0" fontId="12" fillId="9" borderId="1" applyAlignment="1" pivotButton="0" quotePrefix="0" xfId="0">
      <alignment horizontal="center" vertical="center"/>
    </xf>
    <xf numFmtId="0" fontId="18" fillId="14" borderId="1" applyAlignment="1" applyProtection="1" pivotButton="0" quotePrefix="0" xfId="0">
      <alignment horizontal="center" vertical="center"/>
      <protection locked="0" hidden="0"/>
    </xf>
    <xf numFmtId="0" fontId="19" fillId="0" borderId="0" applyAlignment="1" applyProtection="1" pivotButton="0" quotePrefix="0" xfId="0">
      <alignment horizontal="center" vertical="center"/>
      <protection locked="0" hidden="0"/>
    </xf>
    <xf numFmtId="0" fontId="18" fillId="0" borderId="1" applyAlignment="1" applyProtection="1" pivotButton="0" quotePrefix="0" xfId="0">
      <alignment horizontal="center" vertical="center"/>
      <protection locked="0" hidden="0"/>
    </xf>
    <xf numFmtId="0" fontId="18" fillId="0" borderId="1" applyAlignment="1" applyProtection="1" pivotButton="0" quotePrefix="0" xfId="0">
      <alignment horizontal="center" vertical="center" wrapText="1"/>
      <protection locked="0" hidden="0"/>
    </xf>
    <xf numFmtId="0" fontId="18" fillId="8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19" fillId="0" borderId="1" applyAlignment="1" pivotButton="0" quotePrefix="0" xfId="0">
      <alignment horizontal="center" vertical="center"/>
    </xf>
    <xf numFmtId="164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19" fillId="0" borderId="1" applyAlignment="1" applyProtection="1" pivotButton="0" quotePrefix="0" xfId="0">
      <alignment horizontal="center" vertical="center"/>
      <protection locked="0" hidden="0"/>
    </xf>
    <xf numFmtId="0" fontId="19" fillId="10" borderId="1" applyAlignment="1" applyProtection="1" pivotButton="0" quotePrefix="0" xfId="0">
      <alignment horizontal="center" vertical="center"/>
      <protection locked="0" hidden="0"/>
    </xf>
    <xf numFmtId="0" fontId="14" fillId="10" borderId="1" applyAlignment="1" applyProtection="1" pivotButton="0" quotePrefix="0" xfId="0">
      <alignment horizontal="center" vertical="center" wrapText="1"/>
      <protection locked="0" hidden="0"/>
    </xf>
    <xf numFmtId="0" fontId="14" fillId="9" borderId="1" applyAlignment="1" applyProtection="1" pivotButton="0" quotePrefix="0" xfId="0">
      <alignment horizontal="center" vertical="center" wrapText="1"/>
      <protection locked="0" hidden="0"/>
    </xf>
    <xf numFmtId="0" fontId="19" fillId="9" borderId="1" applyAlignment="1" pivotButton="0" quotePrefix="0" xfId="0">
      <alignment horizontal="center" vertical="center"/>
    </xf>
    <xf numFmtId="0" fontId="19" fillId="0" borderId="0" applyAlignment="1" applyProtection="1" pivotButton="0" quotePrefix="0" xfId="0">
      <alignment horizontal="center" vertical="center" wrapText="1"/>
      <protection locked="0" hidden="0"/>
    </xf>
    <xf numFmtId="0" fontId="18" fillId="14" borderId="1" applyAlignment="1" applyProtection="1" pivotButton="0" quotePrefix="0" xfId="0">
      <alignment horizontal="center" vertical="center" wrapText="1"/>
      <protection locked="0" hidden="0"/>
    </xf>
    <xf numFmtId="0" fontId="18" fillId="14" borderId="1" applyAlignment="1" applyProtection="1" pivotButton="0" quotePrefix="0" xfId="0">
      <alignment horizontal="center" vertical="center"/>
      <protection locked="0" hidden="0"/>
    </xf>
    <xf numFmtId="0" fontId="14" fillId="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12" fillId="0" borderId="1" applyProtection="1" pivotButton="0" quotePrefix="0" xfId="0">
      <protection locked="0" hidden="0"/>
    </xf>
    <xf numFmtId="0" fontId="19" fillId="0" borderId="1" applyProtection="1" pivotButton="0" quotePrefix="0" xfId="0">
      <protection locked="0" hidden="0"/>
    </xf>
    <xf numFmtId="0" fontId="19" fillId="0" borderId="1" applyAlignment="1" applyProtection="1" pivotButton="0" quotePrefix="0" xfId="0">
      <alignment horizontal="left"/>
      <protection locked="0" hidden="0"/>
    </xf>
    <xf numFmtId="0" fontId="19" fillId="10" borderId="1" applyAlignment="1" applyProtection="1" pivotButton="0" quotePrefix="0" xfId="0">
      <alignment horizontal="center"/>
      <protection locked="0" hidden="0"/>
    </xf>
    <xf numFmtId="0" fontId="19" fillId="9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pivotButton="0" quotePrefix="0" xfId="0">
      <alignment horizontal="center" vertical="center" wrapText="1"/>
    </xf>
    <xf numFmtId="0" fontId="18" fillId="13" borderId="1" applyAlignment="1" applyProtection="1" pivotButton="0" quotePrefix="0" xfId="0">
      <alignment horizontal="center" vertical="center" wrapText="1"/>
      <protection locked="0" hidden="0"/>
    </xf>
    <xf numFmtId="0" fontId="19" fillId="0" borderId="1" applyAlignment="1" applyProtection="1" pivotButton="0" quotePrefix="0" xfId="0">
      <alignment wrapText="1"/>
      <protection locked="0" hidden="0"/>
    </xf>
    <xf numFmtId="0" fontId="19" fillId="0" borderId="1" applyAlignment="1" pivotButton="0" quotePrefix="0" xfId="0">
      <alignment horizontal="center" vertical="center" wrapText="1"/>
    </xf>
    <xf numFmtId="164" fontId="19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0" borderId="1" applyAlignment="1" applyProtection="1" pivotButton="0" quotePrefix="0" xfId="0">
      <alignment horizontal="left" wrapText="1"/>
      <protection locked="0" hidden="0"/>
    </xf>
    <xf numFmtId="0" fontId="14" fillId="0" borderId="1" applyAlignment="1" pivotButton="0" quotePrefix="0" xfId="0">
      <alignment wrapText="1"/>
    </xf>
    <xf numFmtId="0" fontId="19" fillId="10" borderId="1" applyAlignment="1" applyProtection="1" pivotButton="0" quotePrefix="0" xfId="0">
      <alignment horizontal="center" wrapText="1"/>
      <protection locked="0" hidden="0"/>
    </xf>
    <xf numFmtId="0" fontId="19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12" borderId="1" applyAlignment="1" applyProtection="1" pivotButton="0" quotePrefix="0" xfId="0">
      <alignment horizontal="center" vertical="center"/>
      <protection locked="0" hidden="0"/>
    </xf>
    <xf numFmtId="0" fontId="14" fillId="12" borderId="1" applyAlignment="1" applyProtection="1" pivotButton="0" quotePrefix="0" xfId="0">
      <alignment horizontal="center" vertical="center"/>
      <protection locked="0" hidden="0"/>
    </xf>
    <xf numFmtId="0" fontId="18" fillId="12" borderId="1" applyAlignment="1" applyProtection="1" pivotButton="0" quotePrefix="0" xfId="0">
      <alignment horizontal="center" vertical="center"/>
      <protection locked="0" hidden="0"/>
    </xf>
    <xf numFmtId="0" fontId="19" fillId="9" borderId="1" applyAlignment="1" applyProtection="1" pivotButton="0" quotePrefix="0" xfId="0">
      <alignment horizontal="center" vertical="center"/>
      <protection locked="0" hidden="0"/>
    </xf>
    <xf numFmtId="164" fontId="19" fillId="12" borderId="1" applyAlignment="1" applyProtection="1" pivotButton="0" quotePrefix="0" xfId="0">
      <alignment horizontal="center" vertical="center"/>
      <protection locked="0" hidden="0"/>
    </xf>
    <xf numFmtId="0" fontId="19" fillId="12" borderId="1" applyAlignment="1" applyProtection="1" pivotButton="0" quotePrefix="0" xfId="0">
      <alignment horizontal="center" vertical="center"/>
      <protection locked="0" hidden="0"/>
    </xf>
    <xf numFmtId="0" fontId="19" fillId="9" borderId="1" applyAlignment="1" applyProtection="1" pivotButton="0" quotePrefix="0" xfId="0">
      <alignment horizontal="center" vertical="center"/>
      <protection locked="0" hidden="0"/>
    </xf>
    <xf numFmtId="0" fontId="18" fillId="12" borderId="1" applyAlignment="1" applyProtection="1" pivotButton="0" quotePrefix="0" xfId="0">
      <alignment horizontal="center" vertical="center" wrapText="1"/>
      <protection locked="0" hidden="0"/>
    </xf>
    <xf numFmtId="0" fontId="17" fillId="7" borderId="1" applyAlignment="1" applyProtection="1" pivotButton="0" quotePrefix="0" xfId="0">
      <alignment horizontal="center" vertical="center"/>
      <protection locked="0" hidden="0"/>
    </xf>
    <xf numFmtId="0" fontId="17" fillId="0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0" borderId="1" applyAlignment="1" applyProtection="1" pivotButton="0" quotePrefix="0" xfId="0">
      <alignment horizontal="left" vertical="center"/>
      <protection locked="0" hidden="0"/>
    </xf>
    <xf numFmtId="0" fontId="17" fillId="7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17" fillId="11" borderId="1" applyAlignment="1" applyProtection="1" pivotButton="0" quotePrefix="0" xfId="0">
      <alignment horizontal="center" vertical="center" wrapText="1"/>
      <protection locked="0" hidden="0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5" fontId="3" fillId="16" borderId="1" applyAlignment="1" pivotButton="0" quotePrefix="0" xfId="0">
      <alignment horizontal="center" vertical="center" wrapText="1"/>
    </xf>
    <xf numFmtId="166" fontId="5" fillId="16" borderId="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165" fontId="1" fillId="14" borderId="1" applyAlignment="1" pivotButton="0" quotePrefix="0" xfId="0">
      <alignment horizontal="center" vertical="center"/>
    </xf>
    <xf numFmtId="166" fontId="1" fillId="14" borderId="1" applyAlignment="1" pivotButton="0" quotePrefix="0" xfId="0">
      <alignment horizontal="center" vertical="center"/>
    </xf>
    <xf numFmtId="167" fontId="1" fillId="14" borderId="1" applyAlignment="1" pivotButton="0" quotePrefix="0" xfId="0">
      <alignment horizontal="center" vertical="center"/>
    </xf>
    <xf numFmtId="2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165" fontId="1" fillId="13" borderId="1" applyAlignment="1" pivotButton="0" quotePrefix="0" xfId="0">
      <alignment horizontal="center" vertical="center"/>
    </xf>
    <xf numFmtId="166" fontId="1" fillId="13" borderId="1" applyAlignment="1" pivotButton="0" quotePrefix="0" xfId="0">
      <alignment horizontal="center" vertical="center"/>
    </xf>
    <xf numFmtId="167" fontId="1" fillId="1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5" fontId="1" fillId="12" borderId="1" applyAlignment="1" pivotButton="0" quotePrefix="0" xfId="0">
      <alignment horizontal="center" vertical="center"/>
    </xf>
    <xf numFmtId="166" fontId="1" fillId="12" borderId="1" applyAlignment="1" pivotButton="0" quotePrefix="0" xfId="0">
      <alignment horizontal="center" vertical="center"/>
    </xf>
    <xf numFmtId="167" fontId="1" fillId="12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165" fontId="1" fillId="7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center" vertical="center"/>
    </xf>
    <xf numFmtId="167" fontId="1" fillId="7" borderId="1" applyAlignment="1" pivotButton="0" quotePrefix="0" xfId="0">
      <alignment horizontal="center" vertical="center"/>
    </xf>
    <xf numFmtId="165" fontId="4" fillId="17" borderId="1" applyAlignment="1" pivotButton="0" quotePrefix="0" xfId="0">
      <alignment horizontal="center" vertical="center" wrapText="1"/>
    </xf>
    <xf numFmtId="166" fontId="1" fillId="17" borderId="1" applyAlignment="1" pivotButton="0" quotePrefix="0" xfId="0">
      <alignment horizontal="center" vertical="center"/>
    </xf>
    <xf numFmtId="165" fontId="1" fillId="17" borderId="1" applyAlignment="1" pivotButton="0" quotePrefix="0" xfId="0">
      <alignment horizontal="center" vertical="center"/>
    </xf>
    <xf numFmtId="167" fontId="1" fillId="17" borderId="1" applyAlignment="1" pivotButton="0" quotePrefix="0" xfId="0">
      <alignment horizontal="center" vertical="center"/>
    </xf>
    <xf numFmtId="165" fontId="4" fillId="18" borderId="1" applyAlignment="1" pivotButton="0" quotePrefix="0" xfId="0">
      <alignment horizontal="center" vertical="center" wrapText="1"/>
    </xf>
    <xf numFmtId="166" fontId="1" fillId="18" borderId="1" applyAlignment="1" pivotButton="0" quotePrefix="0" xfId="0">
      <alignment horizontal="center" vertical="center"/>
    </xf>
    <xf numFmtId="165" fontId="1" fillId="18" borderId="1" applyAlignment="1" pivotButton="0" quotePrefix="0" xfId="0">
      <alignment horizontal="center" vertical="center"/>
    </xf>
    <xf numFmtId="167" fontId="1" fillId="18" borderId="1" applyAlignment="1" pivotButton="0" quotePrefix="0" xfId="0">
      <alignment horizontal="center" vertical="center"/>
    </xf>
    <xf numFmtId="165" fontId="4" fillId="19" borderId="1" applyAlignment="1" pivotButton="0" quotePrefix="0" xfId="0">
      <alignment horizontal="center" vertical="center" wrapText="1"/>
    </xf>
    <xf numFmtId="166" fontId="1" fillId="19" borderId="1" applyAlignment="1" pivotButton="0" quotePrefix="0" xfId="0">
      <alignment horizontal="center" vertical="center"/>
    </xf>
    <xf numFmtId="165" fontId="1" fillId="19" borderId="3" applyAlignment="1" pivotButton="0" quotePrefix="0" xfId="0">
      <alignment horizontal="center" vertical="center"/>
    </xf>
    <xf numFmtId="167" fontId="1" fillId="19" borderId="3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 wrapText="1"/>
    </xf>
    <xf numFmtId="166" fontId="1" fillId="20" borderId="1" applyAlignment="1" pivotButton="0" quotePrefix="0" xfId="0">
      <alignment horizontal="center" vertical="center"/>
    </xf>
    <xf numFmtId="165" fontId="1" fillId="20" borderId="4" applyAlignment="1" pivotButton="0" quotePrefix="0" xfId="0">
      <alignment horizontal="center" vertical="center"/>
    </xf>
    <xf numFmtId="167" fontId="1" fillId="20" borderId="4" applyAlignment="1" pivotButton="0" quotePrefix="0" xfId="0">
      <alignment horizontal="center" vertical="center"/>
    </xf>
    <xf numFmtId="165" fontId="1" fillId="15" borderId="1" applyAlignment="1" pivotButton="0" quotePrefix="0" xfId="0">
      <alignment horizontal="center" vertical="center"/>
    </xf>
    <xf numFmtId="166" fontId="1" fillId="15" borderId="1" applyAlignment="1" pivotButton="0" quotePrefix="0" xfId="0">
      <alignment horizontal="center" vertical="center"/>
    </xf>
    <xf numFmtId="167" fontId="1" fillId="15" borderId="1" applyAlignment="1" pivotButton="0" quotePrefix="0" xfId="0">
      <alignment horizontal="center" vertical="center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4" fontId="19" fillId="14" borderId="1" applyAlignment="1" pivotButton="0" quotePrefix="0" xfId="0">
      <alignment horizontal="center" vertical="center"/>
    </xf>
    <xf numFmtId="0" fontId="0" fillId="0" borderId="5" applyProtection="1" pivotButton="0" quotePrefix="0" xfId="0">
      <protection locked="0" hidden="0"/>
    </xf>
    <xf numFmtId="164" fontId="19" fillId="13" borderId="1" applyAlignment="1" pivotButton="0" quotePrefix="0" xfId="0">
      <alignment horizontal="center" vertical="center" wrapText="1"/>
    </xf>
    <xf numFmtId="164" fontId="19" fillId="12" borderId="1" applyAlignment="1" applyProtection="1" pivotButton="0" quotePrefix="0" xfId="0">
      <alignment horizontal="center" vertical="center"/>
      <protection locked="0" hidden="0"/>
    </xf>
    <xf numFmtId="164" fontId="12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81643</colOff>
      <row>1</row>
      <rowOff>16038</rowOff>
    </from>
    <to>
      <col>12</col>
      <colOff>0</colOff>
      <row>1</row>
      <rowOff>311994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968480" y="196850"/>
          <a:ext cx="1899920" cy="2959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217716</colOff>
      <row>1</row>
      <rowOff>9073</rowOff>
    </from>
    <to>
      <col>9</col>
      <colOff>1171081</colOff>
      <row>1</row>
      <rowOff>344714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234170" y="189865"/>
          <a:ext cx="95377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653141</colOff>
      <row>44</row>
      <rowOff>136071</rowOff>
    </from>
    <to>
      <col>10</col>
      <colOff>0</colOff>
      <row>44</row>
      <rowOff>625928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339330" y="9107170"/>
          <a:ext cx="3112770" cy="489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545110</colOff>
      <row>0</row>
      <rowOff>0</rowOff>
    </from>
    <to>
      <col>13</col>
      <colOff>76505</colOff>
      <row>36</row>
      <rowOff>94438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4830" y="0"/>
          <a:ext cx="8446770" cy="64947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5"/>
  <sheetViews>
    <sheetView zoomScale="70" zoomScaleNormal="70" workbookViewId="0">
      <pane ySplit="2" topLeftCell="A3" activePane="bottomLeft" state="frozen"/>
      <selection pane="bottomLeft" activeCell="H15" sqref="H15"/>
    </sheetView>
  </sheetViews>
  <sheetFormatPr baseColWidth="8" defaultColWidth="9.0703125" defaultRowHeight="14.15"/>
  <cols>
    <col width="13.0703125" customWidth="1" style="25" min="1" max="1"/>
    <col width="11.35546875" customWidth="1" style="1" min="2" max="2"/>
    <col width="27" customWidth="1" style="1" min="3" max="3"/>
    <col width="9.0703125" customWidth="1" style="25" min="4" max="7"/>
    <col width="17" customWidth="1" style="223" min="8" max="8"/>
    <col width="13.5703125" customWidth="1" style="224" min="9" max="9"/>
    <col width="18.85546875" customWidth="1" style="25" min="10" max="11"/>
    <col width="26" customWidth="1" style="1" min="12" max="12"/>
    <col width="18.5703125" customWidth="1" style="1" min="13" max="13"/>
    <col width="11.7109375" customWidth="1" style="28" min="14" max="14"/>
    <col width="10.5" customWidth="1" style="1" min="15" max="15"/>
    <col width="10.2109375" customWidth="1" style="1" min="16" max="16"/>
    <col width="9.0703125" customWidth="1" style="1" min="17" max="16384"/>
  </cols>
  <sheetData>
    <row r="1" ht="14.25" customHeight="1">
      <c r="A1" s="83" t="inlineStr">
        <is>
          <t>序号</t>
        </is>
      </c>
      <c r="B1" s="83" t="inlineStr">
        <is>
          <t>层面（类）</t>
        </is>
      </c>
      <c r="C1" s="76" t="inlineStr">
        <is>
          <t>测评指标</t>
        </is>
      </c>
      <c r="D1" s="76" t="inlineStr">
        <is>
          <t>符合情况</t>
        </is>
      </c>
      <c r="E1" s="225" t="n"/>
      <c r="F1" s="225" t="n"/>
      <c r="G1" s="226" t="n"/>
      <c r="H1" s="227" t="inlineStr">
        <is>
          <t>测评单元得分Si,j</t>
        </is>
      </c>
      <c r="I1" s="228" t="inlineStr">
        <is>
          <t>指标权重Wi,j</t>
        </is>
      </c>
      <c r="J1" s="94" t="inlineStr">
        <is>
          <t>安全层面得分情况Si</t>
        </is>
      </c>
      <c r="K1" s="131" t="inlineStr">
        <is>
          <t>安全层面权重Wi</t>
        </is>
      </c>
      <c r="L1" s="127" t="inlineStr">
        <is>
          <t>总分S</t>
        </is>
      </c>
      <c r="M1" s="145" t="inlineStr">
        <is>
          <t>安全层面实际权重</t>
        </is>
      </c>
      <c r="N1" s="144" t="inlineStr">
        <is>
          <t>符合情况</t>
        </is>
      </c>
      <c r="O1" s="144" t="inlineStr">
        <is>
          <t>所占分值</t>
        </is>
      </c>
      <c r="P1" s="144" t="inlineStr">
        <is>
          <t>已得分值</t>
        </is>
      </c>
      <c r="Q1" s="144" t="inlineStr">
        <is>
          <t>丢失分值</t>
        </is>
      </c>
    </row>
    <row r="2" ht="29.25" customHeight="1">
      <c r="A2" s="229" t="n"/>
      <c r="B2" s="229" t="n"/>
      <c r="C2" s="229" t="n"/>
      <c r="D2" s="76" t="inlineStr">
        <is>
          <t>符合</t>
        </is>
      </c>
      <c r="E2" s="76" t="inlineStr">
        <is>
          <t>部分符合</t>
        </is>
      </c>
      <c r="F2" s="76" t="inlineStr">
        <is>
          <t>不符合</t>
        </is>
      </c>
      <c r="G2" s="76" t="inlineStr">
        <is>
          <t>不适用</t>
        </is>
      </c>
      <c r="H2" s="229" t="n"/>
      <c r="I2" s="230" t="n"/>
      <c r="J2" s="229" t="n"/>
      <c r="K2" s="229" t="n"/>
      <c r="L2" s="229" t="n"/>
      <c r="M2" s="229" t="n"/>
    </row>
    <row r="3">
      <c r="A3" s="20" t="n">
        <v>1</v>
      </c>
      <c r="B3" s="84" t="inlineStr">
        <is>
          <t>物理和环境安全</t>
        </is>
      </c>
      <c r="C3" s="84" t="inlineStr">
        <is>
          <t>身份鉴别</t>
        </is>
      </c>
      <c r="D3" s="20">
        <f>IF(VLOOKUP($C$3,'1物理和环境安全'!$A$5:$L$19,12,FALSE)=D$2,"√","")</f>
        <v/>
      </c>
      <c r="E3" s="20">
        <f>IF(VLOOKUP($C$3,'1物理和环境安全'!$A$5:$L$19,12,FALSE)=E2,"√","")</f>
        <v/>
      </c>
      <c r="F3" s="20">
        <f>IF(VLOOKUP($C$3,'1物理和环境安全'!$A$5:$L$19,12,FALSE)=F$2,"√","")</f>
        <v/>
      </c>
      <c r="G3" s="20">
        <f>IF(VLOOKUP($C$3,'1物理和环境安全'!$A$5:$L$19,12,FALSE)=G$2,"√","")</f>
        <v/>
      </c>
      <c r="H3" s="231">
        <f>VLOOKUP($C$3,'1物理和环境安全'!A:L,11,0)</f>
        <v/>
      </c>
      <c r="I3" s="232" t="n">
        <v>1</v>
      </c>
      <c r="J3" s="231">
        <f>IF(COUNTIF(H3:H5,"N/A")=COUNTA(H3:H5),"N/A",SUMPRODUCT(H3:H5,I3:I5)/SUMIF(H3:H5,"&lt;&gt;N/A",I3:I5))</f>
        <v/>
      </c>
      <c r="K3" s="233" t="n">
        <v>10</v>
      </c>
      <c r="L3" s="234">
        <f>SUM(IF(COUNTIF(J3:J24,"=N/A")=4,0,SUMPRODUCT(J3:J24,K3:K24)/SUMIF(J3:J24,"&lt;&gt;N/A",K3:K24)*70),IF(COUNTIF(J25:J43,"=N/A")=4,0,SUMPRODUCT(J25:J43,K25:K43)/SUMIF(J25:J43,"&lt;&gt;N/A",K25:K43)*30))</f>
        <v/>
      </c>
      <c r="M3" s="233">
        <f>IF(J3="N/A","N/A",10*70/SUMIF(J3:J24,"&lt;&gt;N/A",K3:K24))</f>
        <v/>
      </c>
      <c r="N3" s="57">
        <f>IF(D3="√","符合",IF(E3="√","部分符合",IF(F3="√","不符合","不适用")))</f>
        <v/>
      </c>
      <c r="O3" s="58">
        <f>IF(H3="N/A","N/A",M$3*I3/SUMIF(H$3:H$5,"&lt;&gt;N/A",I$3:I$5))</f>
        <v/>
      </c>
      <c r="P3" s="58">
        <f>IF(H3="N/A","N/A",H3*O3)</f>
        <v/>
      </c>
      <c r="Q3" s="58">
        <f>IF(O3="N/A","N/A",O3-P3)</f>
        <v/>
      </c>
    </row>
    <row r="4">
      <c r="A4" s="20" t="n">
        <v>2</v>
      </c>
      <c r="B4" s="235" t="n"/>
      <c r="C4" s="84" t="inlineStr">
        <is>
          <t>电子门禁记录数据存储完整性</t>
        </is>
      </c>
      <c r="D4" s="20">
        <f>IF(VLOOKUP($C$4,'1物理和环境安全'!$A$5:$L$19,12,FALSE)=D$2,"√","")</f>
        <v/>
      </c>
      <c r="E4" s="20">
        <f>IF(VLOOKUP($C$4,'1物理和环境安全'!$A$5:$L$19,12,FALSE)=E$2,"√","")</f>
        <v/>
      </c>
      <c r="F4" s="20">
        <f>IF(VLOOKUP($C$4,'1物理和环境安全'!$A$5:$L$19,12,FALSE)=F$2,"√","")</f>
        <v/>
      </c>
      <c r="G4" s="20">
        <f>IF(VLOOKUP($C$4,'1物理和环境安全'!$A$5:$L$19,12,FALSE)=G$2,"√","")</f>
        <v/>
      </c>
      <c r="H4" s="231">
        <f>VLOOKUP($C$4,'1物理和环境安全'!A:L,11,0)</f>
        <v/>
      </c>
      <c r="I4" s="232" t="n">
        <v>0.7</v>
      </c>
      <c r="J4" s="235" t="n"/>
      <c r="K4" s="235" t="n"/>
      <c r="L4" s="230" t="n"/>
      <c r="M4" s="235" t="n"/>
      <c r="N4" s="57">
        <f>IF(D4="√","符合",IF(E4="√","部分符合",IF(F4="√","不符合","不适用")))</f>
        <v/>
      </c>
      <c r="O4" s="58">
        <f>IF(H4="N/A","N/A",M$3*I4/SUMIF(H$3:H$5,"&lt;&gt;N/A",I$3:I$5))</f>
        <v/>
      </c>
      <c r="P4" s="58">
        <f>IF(H4="N/A","N/A",H4*O4)</f>
        <v/>
      </c>
      <c r="Q4" s="58">
        <f>IF(O4="N/A","N/A",O4-P4)</f>
        <v/>
      </c>
    </row>
    <row r="5">
      <c r="A5" s="20" t="n">
        <v>3</v>
      </c>
      <c r="B5" s="229" t="n"/>
      <c r="C5" s="84" t="inlineStr">
        <is>
          <t>视频监控记录数据存储完整性</t>
        </is>
      </c>
      <c r="D5" s="20">
        <f>IF(VLOOKUP($C$5,'1物理和环境安全'!$A$5:$L$19,12,FALSE)=D$2,"√","")</f>
        <v/>
      </c>
      <c r="E5" s="20">
        <f>IF(VLOOKUP($C$5,'1物理和环境安全'!$A$5:$L$19,12,FALSE)=E$2,"√","")</f>
        <v/>
      </c>
      <c r="F5" s="20">
        <f>IF(VLOOKUP($C$5,'1物理和环境安全'!$A$5:$L$19,12,FALSE)=F$2,"√","")</f>
        <v/>
      </c>
      <c r="G5" s="20">
        <f>IF(VLOOKUP($C$5,'1物理和环境安全'!$A$5:$L$19,12,FALSE)=G$2,"√","")</f>
        <v/>
      </c>
      <c r="H5" s="231">
        <f>VLOOKUP($C$5,'1物理和环境安全'!A:L,11,0)</f>
        <v/>
      </c>
      <c r="I5" s="232" t="n">
        <v>0.7</v>
      </c>
      <c r="J5" s="229" t="n"/>
      <c r="K5" s="229" t="n"/>
      <c r="L5" s="230" t="n"/>
      <c r="M5" s="229" t="n"/>
      <c r="N5" s="57">
        <f>IF(D5="√","符合",IF(E5="√","部分符合",IF(F5="√","不符合","不适用")))</f>
        <v/>
      </c>
      <c r="O5" s="58">
        <f>IF(H5="N/A","N/A",M$3*I5/SUMIF(H$3:H$5,"&lt;&gt;N/A",I$3:I$5))</f>
        <v/>
      </c>
      <c r="P5" s="58">
        <f>IF(H5="N/A","N/A",H5*O5)</f>
        <v/>
      </c>
      <c r="Q5" s="58">
        <f>IF(O5="N/A","N/A",O5-P5)</f>
        <v/>
      </c>
    </row>
    <row r="6" customFormat="1" s="23">
      <c r="A6" s="17" t="n">
        <v>4</v>
      </c>
      <c r="B6" s="85" t="inlineStr">
        <is>
          <t>网络和通信安全</t>
        </is>
      </c>
      <c r="C6" s="85" t="inlineStr">
        <is>
          <t>身份鉴别</t>
        </is>
      </c>
      <c r="D6" s="17">
        <f>IF(VLOOKUP($C$6,'2网络和通信安全 '!$A$5:$L$110,12,FALSE)=D$2,"√","")</f>
        <v/>
      </c>
      <c r="E6" s="17">
        <f>IF(VLOOKUP($C$6,'2网络和通信安全 '!$A$5:$L$110,12,FALSE)=E$2,"√","")</f>
        <v/>
      </c>
      <c r="F6" s="17">
        <f>IF(VLOOKUP($C$6,'2网络和通信安全 '!$A$5:$L$110,12,FALSE)=F$2,"√","")</f>
        <v/>
      </c>
      <c r="G6" s="17">
        <f>IF(VLOOKUP($C$6,'2网络和通信安全 '!$A$5:$L$110,12,FALSE)=G$2,"√","")</f>
        <v/>
      </c>
      <c r="H6" s="236">
        <f>VLOOKUP($C$6,'2网络和通信安全 '!A:L,11,0)</f>
        <v/>
      </c>
      <c r="I6" s="237" t="n">
        <v>1</v>
      </c>
      <c r="J6" s="236">
        <f>IF(COUNTIF(H6:H10,"N/A")=COUNTA(H6:H10),"N/A",SUMPRODUCT(H6:H10,I6:I10)/SUMIF(H6:H10,"&lt;&gt;N/A",I6:I10))</f>
        <v/>
      </c>
      <c r="K6" s="238" t="n">
        <v>20</v>
      </c>
      <c r="L6" s="230" t="n"/>
      <c r="M6" s="238">
        <f>IF(J6="N/A","N/A",20*70/SUMIF(J3:J24,"&lt;&gt;N/A",K3:K24))</f>
        <v/>
      </c>
      <c r="N6" s="60">
        <f>IF(D6="√","符合",IF(E6="√","部分符合",IF(F6="√","不符合","不适用")))</f>
        <v/>
      </c>
      <c r="O6" s="58">
        <f>IF(H6="N/A","N/A",M$6*I6/SUMIF(H$6:H$10,"&lt;&gt;N/A",I$6:I$10))</f>
        <v/>
      </c>
      <c r="P6" s="58">
        <f>IF(H6="N/A","N/A",H6*O6)</f>
        <v/>
      </c>
      <c r="Q6" s="58">
        <f>IF(O6="N/A","N/A",O6-P6)</f>
        <v/>
      </c>
    </row>
    <row r="7" customFormat="1" s="23">
      <c r="A7" s="17" t="n">
        <v>5</v>
      </c>
      <c r="B7" s="235" t="n"/>
      <c r="C7" s="85" t="inlineStr">
        <is>
          <t>通信数据完整性</t>
        </is>
      </c>
      <c r="D7" s="17">
        <f>IF(VLOOKUP($C$7,'2网络和通信安全 '!$A$5:$L$110,12,FALSE)=D$2,"√","")</f>
        <v/>
      </c>
      <c r="E7" s="17">
        <f>IF(VLOOKUP($C$7,'2网络和通信安全 '!$A$5:$L$110,12,FALSE)=E$2,"√","")</f>
        <v/>
      </c>
      <c r="F7" s="17">
        <f>IF(VLOOKUP($C$7,'2网络和通信安全 '!$A$5:$L$110,12,FALSE)=F$2,"√","")</f>
        <v/>
      </c>
      <c r="G7" s="17">
        <f>IF(VLOOKUP($C$7,'2网络和通信安全 '!$A$5:$L$110,12,FALSE)=G$2,"√","")</f>
        <v/>
      </c>
      <c r="H7" s="236">
        <f>VLOOKUP($C$7,'2网络和通信安全 '!A:L,11,0)</f>
        <v/>
      </c>
      <c r="I7" s="237" t="n">
        <v>0.7</v>
      </c>
      <c r="J7" s="235" t="n"/>
      <c r="K7" s="235" t="n"/>
      <c r="L7" s="230" t="n"/>
      <c r="M7" s="235" t="n"/>
      <c r="N7" s="60">
        <f>IF(D7="√","符合",IF(E7="√","部分符合",IF(F7="√","不符合","不适用")))</f>
        <v/>
      </c>
      <c r="O7" s="58">
        <f>IF(H7="N/A","N/A",M$6*I7/SUMIF(H$6:H$10,"&lt;&gt;N/A",I$6:I$10))</f>
        <v/>
      </c>
      <c r="P7" s="58">
        <f>IF(H7="N/A","N/A",H7*O7)</f>
        <v/>
      </c>
      <c r="Q7" s="58">
        <f>IF(O7="N/A","N/A",O7-P7)</f>
        <v/>
      </c>
    </row>
    <row r="8" customFormat="1" s="23">
      <c r="A8" s="17" t="n">
        <v>6</v>
      </c>
      <c r="B8" s="235" t="n"/>
      <c r="C8" s="85" t="inlineStr">
        <is>
          <t>通信过程中重要数据的机密性</t>
        </is>
      </c>
      <c r="D8" s="17">
        <f>IF(VLOOKUP($C$8,'2网络和通信安全 '!$A$5:$L$110,12,FALSE)=D$2,"√","")</f>
        <v/>
      </c>
      <c r="E8" s="17">
        <f>IF(VLOOKUP($C$8,'2网络和通信安全 '!$A$5:$L$110,12,FALSE)=E$2,"√","")</f>
        <v/>
      </c>
      <c r="F8" s="17">
        <f>IF(VLOOKUP($C$8,'2网络和通信安全 '!$A$5:$L$110,12,FALSE)=F$2,"√","")</f>
        <v/>
      </c>
      <c r="G8" s="17">
        <f>IF(VLOOKUP($C$8,'2网络和通信安全 '!$A$5:$L$110,12,FALSE)=G$2,"√","")</f>
        <v/>
      </c>
      <c r="H8" s="236">
        <f>VLOOKUP($C$8,'2网络和通信安全 '!A:L,11,0)</f>
        <v/>
      </c>
      <c r="I8" s="237" t="n">
        <v>1</v>
      </c>
      <c r="J8" s="235" t="n"/>
      <c r="K8" s="235" t="n"/>
      <c r="L8" s="230" t="n"/>
      <c r="M8" s="235" t="n"/>
      <c r="N8" s="60">
        <f>IF(D8="√","符合",IF(E8="√","部分符合",IF(F8="√","不符合","不适用")))</f>
        <v/>
      </c>
      <c r="O8" s="58">
        <f>IF(H8="N/A","N/A",M$6*I8/SUMIF(H$6:H$10,"&lt;&gt;N/A",I$6:I$10))</f>
        <v/>
      </c>
      <c r="P8" s="58">
        <f>IF(H8="N/A","N/A",H8*O8)</f>
        <v/>
      </c>
      <c r="Q8" s="58">
        <f>IF(O8="N/A","N/A",O8-P8)</f>
        <v/>
      </c>
    </row>
    <row r="9" ht="23.9" customFormat="1" customHeight="1" s="23">
      <c r="A9" s="17" t="n">
        <v>7</v>
      </c>
      <c r="B9" s="235" t="n"/>
      <c r="C9" s="34" t="inlineStr">
        <is>
          <t>网络边界访问控制信息的完整性</t>
        </is>
      </c>
      <c r="D9" s="17">
        <f>IF(VLOOKUP($C$9,'2网络和通信安全 '!$A$5:$L$110,12,FALSE)=D$2,"√","")</f>
        <v/>
      </c>
      <c r="E9" s="17">
        <f>IF(VLOOKUP($C$9,'2网络和通信安全 '!$A$5:$L$110,12,FALSE)=E$2,"√","")</f>
        <v/>
      </c>
      <c r="F9" s="17">
        <f>IF(VLOOKUP($C$9,'2网络和通信安全 '!$A$5:$L$110,12,FALSE)=F$2,"√","")</f>
        <v/>
      </c>
      <c r="G9" s="17">
        <f>IF(VLOOKUP($C$9,'2网络和通信安全 '!$A$5:$L$110,12,FALSE)=G$2,"√","")</f>
        <v/>
      </c>
      <c r="H9" s="236">
        <f>VLOOKUP($C$9,'2网络和通信安全 '!A:L,11,0)</f>
        <v/>
      </c>
      <c r="I9" s="237" t="n">
        <v>0.4</v>
      </c>
      <c r="J9" s="235" t="n"/>
      <c r="K9" s="235" t="n"/>
      <c r="L9" s="230" t="n"/>
      <c r="M9" s="235" t="n"/>
      <c r="N9" s="60">
        <f>IF(D9="√","符合",IF(E9="√","部分符合",IF(F9="√","不符合","不适用")))</f>
        <v/>
      </c>
      <c r="O9" s="58">
        <f>IF(H9="N/A","N/A",M$6*I9/SUMIF(H$6:H$10,"&lt;&gt;N/A",I$6:I$10))</f>
        <v/>
      </c>
      <c r="P9" s="58">
        <f>IF(H9="N/A","N/A",H9*O9)</f>
        <v/>
      </c>
      <c r="Q9" s="58">
        <f>IF(O9="N/A","N/A",O9-P9)</f>
        <v/>
      </c>
      <c r="R9" s="74" t="n"/>
      <c r="S9" s="239" t="inlineStr">
        <is>
          <t>注：N/A为不适用</t>
        </is>
      </c>
      <c r="T9" s="240" t="n"/>
      <c r="U9" s="241" t="n"/>
    </row>
    <row r="10" customFormat="1" s="23">
      <c r="A10" s="17" t="n">
        <v>8</v>
      </c>
      <c r="B10" s="229" t="n"/>
      <c r="C10" s="85" t="inlineStr">
        <is>
          <t>安全接入认证</t>
        </is>
      </c>
      <c r="D10" s="17">
        <f>IF(VLOOKUP($C$10,'2网络和通信安全 '!$A$5:$L$110,12,FALSE)=D$2,"√","")</f>
        <v/>
      </c>
      <c r="E10" s="17">
        <f>IF(VLOOKUP($C$10,'2网络和通信安全 '!$A$5:$L$110,12,FALSE)=E$2,"√","")</f>
        <v/>
      </c>
      <c r="F10" s="17">
        <f>IF(VLOOKUP($C$10,'2网络和通信安全 '!$A$5:$L$110,12,FALSE)=F$2,"√","")</f>
        <v/>
      </c>
      <c r="G10" s="17">
        <f>IF(VLOOKUP($C$10,'2网络和通信安全 '!$A$5:$L$110,12,FALSE)=G$2,"√","")</f>
        <v/>
      </c>
      <c r="H10" s="236">
        <f>VLOOKUP($C$10,'2网络和通信安全 '!A:L,11,0)</f>
        <v/>
      </c>
      <c r="I10" s="237" t="n">
        <v>0.4</v>
      </c>
      <c r="J10" s="229" t="n"/>
      <c r="K10" s="229" t="n"/>
      <c r="L10" s="230" t="n"/>
      <c r="M10" s="229" t="n"/>
      <c r="N10" s="60">
        <f>IF(D10="√","符合",IF(E10="√","部分符合",IF(F10="√","不符合","不适用")))</f>
        <v/>
      </c>
      <c r="O10" s="58">
        <f>IF(H10="N/A","N/A",M$6*I10/SUMIF(H$6:H$10,"&lt;&gt;N/A",I$6:I$10))</f>
        <v/>
      </c>
      <c r="P10" s="58">
        <f>IF(H10="N/A","N/A",H10*O10)</f>
        <v/>
      </c>
      <c r="Q10" s="58">
        <f>IF(O10="N/A","N/A",O10-P10)</f>
        <v/>
      </c>
      <c r="R10" s="74" t="n"/>
      <c r="S10" s="230" t="n"/>
      <c r="U10" s="242" t="n"/>
    </row>
    <row r="11" customFormat="1" s="23">
      <c r="A11" s="35" t="n">
        <v>9</v>
      </c>
      <c r="B11" s="86" t="inlineStr">
        <is>
          <t>设备和计算安全</t>
        </is>
      </c>
      <c r="C11" s="86" t="inlineStr">
        <is>
          <t>身份鉴别</t>
        </is>
      </c>
      <c r="D11" s="35">
        <f>IF(VLOOKUP($C$11,'3设备和计算安全'!$A$5:$L$58,12,FALSE)=D$2,"√","")</f>
        <v/>
      </c>
      <c r="E11" s="35">
        <f>IF(VLOOKUP($C$11,'3设备和计算安全'!$A$5:$L$58,12,FALSE)=E$2,"√","")</f>
        <v/>
      </c>
      <c r="F11" s="35">
        <f>IF(VLOOKUP($C$11,'3设备和计算安全'!$A$5:$L$58,12,FALSE)=F$2,"√","")</f>
        <v/>
      </c>
      <c r="G11" s="35">
        <f>IF(VLOOKUP($C$11,'3设备和计算安全'!$A$5:$L$58,12,FALSE)=G$2,"√","")</f>
        <v/>
      </c>
      <c r="H11" s="243">
        <f>VLOOKUP($C11,'3设备和计算安全'!A:L,11,0)</f>
        <v/>
      </c>
      <c r="I11" s="244" t="n">
        <v>1</v>
      </c>
      <c r="J11" s="243">
        <f>IF(COUNTIF(H11:H16,"N/A")=COUNTA(H11:H16),"N/A",SUMPRODUCT(H11:H16,I11:I16)/SUMIF(H11:H16,"&lt;&gt;N/A",I11:I16))</f>
        <v/>
      </c>
      <c r="K11" s="245" t="n">
        <v>10</v>
      </c>
      <c r="L11" s="230" t="n"/>
      <c r="M11" s="245">
        <f>IF(J11="N/A","N/A",10*70/SUMIF(J3:J24,"&lt;&gt;N/A",K3:K24))</f>
        <v/>
      </c>
      <c r="N11" s="60">
        <f>IF(D11="√","符合",IF(E11="√","部分符合",IF(F11="√","不符合","不适用")))</f>
        <v/>
      </c>
      <c r="O11" s="58">
        <f>IF(H11="N/A","N/A",M$11*I11/SUMIF(H$11:H$16,"&lt;&gt;N/A",I$11:I$16))</f>
        <v/>
      </c>
      <c r="P11" s="58">
        <f>IF(H11="N/A","N/A",H11*O11)</f>
        <v/>
      </c>
      <c r="Q11" s="58">
        <f>IF(O11="N/A","N/A",O11-P11)</f>
        <v/>
      </c>
      <c r="R11" s="74" t="n"/>
      <c r="S11" s="246" t="n"/>
      <c r="T11" s="247" t="n"/>
      <c r="U11" s="248" t="n"/>
    </row>
    <row r="12" customFormat="1" s="23">
      <c r="A12" s="35" t="n">
        <v>10</v>
      </c>
      <c r="B12" s="235" t="n"/>
      <c r="C12" s="86" t="inlineStr">
        <is>
          <t>远程管理通道安全</t>
        </is>
      </c>
      <c r="D12" s="35">
        <f>IF(VLOOKUP($C$12,'3设备和计算安全'!$A$5:$L$58,12,FALSE)=D$2,"√","")</f>
        <v/>
      </c>
      <c r="E12" s="35">
        <f>IF(VLOOKUP($C$12,'3设备和计算安全'!$A$5:$L$58,12,FALSE)=E$2,"√","")</f>
        <v/>
      </c>
      <c r="F12" s="35">
        <f>IF(VLOOKUP($C$12,'3设备和计算安全'!$A$5:$L$58,12,FALSE)=F$2,"√","")</f>
        <v/>
      </c>
      <c r="G12" s="35">
        <f>IF(VLOOKUP($C$12,'3设备和计算安全'!$A$5:$L$58,12,FALSE)=G$2,"√","")</f>
        <v/>
      </c>
      <c r="H12" s="243">
        <f>VLOOKUP($C12,'3设备和计算安全'!A:L,11,0)</f>
        <v/>
      </c>
      <c r="I12" s="244" t="n">
        <v>1</v>
      </c>
      <c r="J12" s="235" t="n"/>
      <c r="K12" s="235" t="n"/>
      <c r="L12" s="230" t="n"/>
      <c r="M12" s="235" t="n"/>
      <c r="N12" s="60">
        <f>IF(D12="√","符合",IF(E12="√","部分符合",IF(F12="√","不符合","不适用")))</f>
        <v/>
      </c>
      <c r="O12" s="58">
        <f>IF(H12="N/A","N/A",M$11*I12/SUMIF(H$11:H$16,"&lt;&gt;N/A",I$11:I$16))</f>
        <v/>
      </c>
      <c r="P12" s="58">
        <f>IF(H12="N/A","N/A",H12*O12)</f>
        <v/>
      </c>
      <c r="Q12" s="58">
        <f>IF(O12="N/A","N/A",O12-P12)</f>
        <v/>
      </c>
    </row>
    <row r="13" customFormat="1" s="23">
      <c r="A13" s="35" t="n">
        <v>11</v>
      </c>
      <c r="B13" s="235" t="n"/>
      <c r="C13" s="86" t="inlineStr">
        <is>
          <t>系统资源访问控制信息完整性</t>
        </is>
      </c>
      <c r="D13" s="35">
        <f>IF(VLOOKUP($C$13,'3设备和计算安全'!$A$5:$L$58,12,FALSE)=D$2,"√","")</f>
        <v/>
      </c>
      <c r="E13" s="35">
        <f>IF(VLOOKUP($C$13,'3设备和计算安全'!$A$5:$L$58,12,FALSE)=E$2,"√","")</f>
        <v/>
      </c>
      <c r="F13" s="35">
        <f>IF(VLOOKUP($C$13,'3设备和计算安全'!$A$5:$L$58,12,FALSE)=F$2,"√","")</f>
        <v/>
      </c>
      <c r="G13" s="35">
        <f>IF(VLOOKUP($C$13,'3设备和计算安全'!$A$5:$L$58,12,FALSE)=G$2,"√","")</f>
        <v/>
      </c>
      <c r="H13" s="243">
        <f>VLOOKUP($C13,'3设备和计算安全'!A:L,11,0)</f>
        <v/>
      </c>
      <c r="I13" s="244" t="n">
        <v>0.4</v>
      </c>
      <c r="J13" s="235" t="n"/>
      <c r="K13" s="235" t="n"/>
      <c r="L13" s="230" t="n"/>
      <c r="M13" s="235" t="n"/>
      <c r="N13" s="60">
        <f>IF(D13="√","符合",IF(E13="√","部分符合",IF(F13="√","不符合","不适用")))</f>
        <v/>
      </c>
      <c r="O13" s="58">
        <f>IF(H13="N/A","N/A",M$11*I13/SUMIF(H$11:H$16,"&lt;&gt;N/A",I$11:I$16))</f>
        <v/>
      </c>
      <c r="P13" s="58">
        <f>IF(H13="N/A","N/A",H13*O13)</f>
        <v/>
      </c>
      <c r="Q13" s="58">
        <f>IF(O13="N/A","N/A",O13-P13)</f>
        <v/>
      </c>
    </row>
    <row r="14" customFormat="1" s="23">
      <c r="A14" s="35" t="n">
        <v>12</v>
      </c>
      <c r="B14" s="235" t="n"/>
      <c r="C14" s="86" t="inlineStr">
        <is>
          <t>重要信息资源安全标记完整性</t>
        </is>
      </c>
      <c r="D14" s="35">
        <f>IF(VLOOKUP($C$14,'3设备和计算安全'!$A$5:$L$58,12,FALSE)=D$2,"√","")</f>
        <v/>
      </c>
      <c r="E14" s="35">
        <f>IF(VLOOKUP($C$14,'3设备和计算安全'!$A$5:$L$58,12,FALSE)=E$2,"√","")</f>
        <v/>
      </c>
      <c r="F14" s="35">
        <f>IF(VLOOKUP($C$14,'3设备和计算安全'!$A$5:$L$58,12,FALSE)=F$2,"√","")</f>
        <v/>
      </c>
      <c r="G14" s="35">
        <f>IF(VLOOKUP($C$14,'3设备和计算安全'!$A$5:$L$58,12,FALSE)=G$2,"√","")</f>
        <v/>
      </c>
      <c r="H14" s="243">
        <f>VLOOKUP($C14,'3设备和计算安全'!A:L,11,0)</f>
        <v/>
      </c>
      <c r="I14" s="244" t="n">
        <v>0.4</v>
      </c>
      <c r="J14" s="235" t="n"/>
      <c r="K14" s="235" t="n"/>
      <c r="L14" s="230" t="n"/>
      <c r="M14" s="235" t="n"/>
      <c r="N14" s="60">
        <f>IF(D14="√","符合",IF(E14="√","部分符合",IF(F14="√","不符合","不适用")))</f>
        <v/>
      </c>
      <c r="O14" s="58">
        <f>IF(H14="N/A","N/A",M$11*I14/SUMIF(H$11:H$16,"&lt;&gt;N/A",I$11:I$16))</f>
        <v/>
      </c>
      <c r="P14" s="58">
        <f>IF(H14="N/A","N/A",H14*O14)</f>
        <v/>
      </c>
      <c r="Q14" s="58">
        <f>IF(O14="N/A","N/A",O14-P14)</f>
        <v/>
      </c>
    </row>
    <row r="15" customFormat="1" s="23">
      <c r="A15" s="35" t="n">
        <v>13</v>
      </c>
      <c r="B15" s="235" t="n"/>
      <c r="C15" s="86" t="inlineStr">
        <is>
          <t>日志记录完整性</t>
        </is>
      </c>
      <c r="D15" s="35">
        <f>IF(VLOOKUP($C$15,'3设备和计算安全'!$A$5:$L$58,12,FALSE)=D$2,"√","")</f>
        <v/>
      </c>
      <c r="E15" s="35">
        <f>IF(VLOOKUP($C$15,'3设备和计算安全'!$A$5:$L$58,12,FALSE)=E$2,"√","")</f>
        <v/>
      </c>
      <c r="F15" s="35">
        <f>IF(VLOOKUP($C15,'3设备和计算安全'!$A$5:$L$58,12,FALSE)=F$2,"√","")</f>
        <v/>
      </c>
      <c r="G15" s="35">
        <f>IF(VLOOKUP($C15,'3设备和计算安全'!$A$5:$L$58,12,FALSE)=G$2,"√","")</f>
        <v/>
      </c>
      <c r="H15" s="243">
        <f>VLOOKUP($C15,'3设备和计算安全'!A:L,11,0)</f>
        <v/>
      </c>
      <c r="I15" s="244" t="n">
        <v>0.4</v>
      </c>
      <c r="J15" s="235" t="n"/>
      <c r="K15" s="235" t="n"/>
      <c r="L15" s="230" t="n"/>
      <c r="M15" s="235" t="n"/>
      <c r="N15" s="60">
        <f>IF(D15="√","符合",IF(E15="√","部分符合",IF(F15="√","不符合","不适用")))</f>
        <v/>
      </c>
      <c r="O15" s="58">
        <f>IF(H15="N/A","N/A",M$11*I15/SUMIF(H$11:H$16,"&lt;&gt;N/A",I$11:I$16))</f>
        <v/>
      </c>
      <c r="P15" s="58">
        <f>IF(H15="N/A","N/A",H15*O15)</f>
        <v/>
      </c>
      <c r="Q15" s="58">
        <f>IF(O15="N/A","N/A",O15-P15)</f>
        <v/>
      </c>
    </row>
    <row r="16" ht="27.45" customFormat="1" customHeight="1" s="23">
      <c r="A16" s="35" t="n">
        <v>14</v>
      </c>
      <c r="B16" s="229" t="n"/>
      <c r="C16" s="86" t="inlineStr">
        <is>
          <t>重要可执行程序完整性、重要可执行程序来源真实性</t>
        </is>
      </c>
      <c r="D16" s="35">
        <f>IF(VLOOKUP($C$16,'3设备和计算安全'!$A$5:$L$58,12,FALSE)=D$2,"√","")</f>
        <v/>
      </c>
      <c r="E16" s="35">
        <f>IF(VLOOKUP($C$16,'3设备和计算安全'!$A$5:$L$58,12,FALSE)=E$2,"√","")</f>
        <v/>
      </c>
      <c r="F16" s="35">
        <f>IF(VLOOKUP($C$16,'3设备和计算安全'!$A$5:$L$58,12,FALSE)=F$2,"√","")</f>
        <v/>
      </c>
      <c r="G16" s="35">
        <f>IF(VLOOKUP($C$16,'3设备和计算安全'!$A$5:$L$58,12,FALSE)=G$2,"√","")</f>
        <v/>
      </c>
      <c r="H16" s="243">
        <f>VLOOKUP($C16,'3设备和计算安全'!A:L,11,0)</f>
        <v/>
      </c>
      <c r="I16" s="244" t="n">
        <v>0.7</v>
      </c>
      <c r="J16" s="229" t="n"/>
      <c r="K16" s="229" t="n"/>
      <c r="L16" s="230" t="n"/>
      <c r="M16" s="229" t="n"/>
      <c r="N16" s="60">
        <f>IF(D16="√","符合",IF(E16="√","部分符合",IF(F16="√","不符合","不适用")))</f>
        <v/>
      </c>
      <c r="O16" s="58">
        <f>IF(H16="N/A","N/A",M$11*I16/SUMIF(H$11:H$16,"&lt;&gt;N/A",I$11:I$16))</f>
        <v/>
      </c>
      <c r="P16" s="58">
        <f>IF(H16="N/A","N/A",H16*O16)</f>
        <v/>
      </c>
      <c r="Q16" s="58">
        <f>IF(O16="N/A","N/A",O16-P16)</f>
        <v/>
      </c>
    </row>
    <row r="17" customFormat="1" s="23">
      <c r="A17" s="14" t="n">
        <v>15</v>
      </c>
      <c r="B17" s="87" t="inlineStr">
        <is>
          <t>应用和数据安全</t>
        </is>
      </c>
      <c r="C17" s="87" t="inlineStr">
        <is>
          <t>身份鉴别</t>
        </is>
      </c>
      <c r="D17" s="14">
        <f>IF(VLOOKUP($C$17,'4应用和数据安全'!$A$5:$L$111,12,FALSE)=D$2,"√","")</f>
        <v/>
      </c>
      <c r="E17" s="14">
        <f>IF(VLOOKUP($C$17,'4应用和数据安全'!$A$5:$L$111,12,FALSE)=E$2,"√","")</f>
        <v/>
      </c>
      <c r="F17" s="14">
        <f>IF(VLOOKUP($C$17,'4应用和数据安全'!$A$5:$L$111,12,FALSE)=F$2,"√","")</f>
        <v/>
      </c>
      <c r="G17" s="14">
        <f>IF(VLOOKUP($C$17,'4应用和数据安全'!$A$5:$L$111,12,FALSE)=G$2,"√","")</f>
        <v/>
      </c>
      <c r="H17" s="249">
        <f>VLOOKUP($C17,'4应用和数据安全'!A:L,11,0)</f>
        <v/>
      </c>
      <c r="I17" s="250" t="n">
        <v>1</v>
      </c>
      <c r="J17" s="249">
        <f>IF(COUNTIF(H17:H24,"N/A")=COUNTA(H17:H24),"N/A",SUMPRODUCT(H17:H24,I17:I24)/SUMIF(H17:H24,"&lt;&gt;N/A",I17:I24))</f>
        <v/>
      </c>
      <c r="K17" s="251" t="n">
        <v>30</v>
      </c>
      <c r="L17" s="230" t="n"/>
      <c r="M17" s="251">
        <f>IF(J17="N/A","N/A",30*70/SUMIF(J3:J24,"&lt;&gt;N/A",K3:K24))</f>
        <v/>
      </c>
      <c r="N17" s="60">
        <f>IF(D17="√","符合",IF(E17="√","部分符合",IF(F17="√","不符合","不适用")))</f>
        <v/>
      </c>
      <c r="O17" s="58">
        <f>IF(H17="N/A","N/A",M$17*I17/SUMIF(H$17:H$24,"&lt;&gt;N/A",I$17:I$24))</f>
        <v/>
      </c>
      <c r="P17" s="58">
        <f>IF(H17="N/A","N/A",H17*O17)</f>
        <v/>
      </c>
      <c r="Q17" s="58">
        <f>IF(O17="N/A","N/A",O17-P17)</f>
        <v/>
      </c>
    </row>
    <row r="18" customFormat="1" s="23">
      <c r="A18" s="14" t="n">
        <v>16</v>
      </c>
      <c r="B18" s="235" t="n"/>
      <c r="C18" s="87" t="inlineStr">
        <is>
          <t>访问控制信息完整性</t>
        </is>
      </c>
      <c r="D18" s="14">
        <f>IF(VLOOKUP($C$18,'4应用和数据安全'!$A$5:$L$111,12,FALSE)=D$2,"√","")</f>
        <v/>
      </c>
      <c r="E18" s="14">
        <f>IF(VLOOKUP($C$18,'4应用和数据安全'!$A$5:$L$111,12,FALSE)=E$2,"√","")</f>
        <v/>
      </c>
      <c r="F18" s="14">
        <f>IF(VLOOKUP($C$18,'4应用和数据安全'!$A$5:$L$111,12,FALSE)=F$2,"√","")</f>
        <v/>
      </c>
      <c r="G18" s="14">
        <f>IF(VLOOKUP($C$18,'4应用和数据安全'!$A$5:$L$111,12,FALSE)=G$2,"√","")</f>
        <v/>
      </c>
      <c r="H18" s="249">
        <f>VLOOKUP($C18,'4应用和数据安全'!A:L,11,0)</f>
        <v/>
      </c>
      <c r="I18" s="250" t="n">
        <v>0.4</v>
      </c>
      <c r="J18" s="235" t="n"/>
      <c r="K18" s="235" t="n"/>
      <c r="L18" s="230" t="n"/>
      <c r="M18" s="235" t="n"/>
      <c r="N18" s="60">
        <f>IF(D18="√","符合",IF(E18="√","部分符合",IF(F18="√","不符合","不适用")))</f>
        <v/>
      </c>
      <c r="O18" s="58">
        <f>IF(H18="N/A","N/A",M$17*I18/SUMIF(H$17:H$24,"&lt;&gt;N/A",I$17:I$24))</f>
        <v/>
      </c>
      <c r="P18" s="58">
        <f>IF(H18="N/A","N/A",H18*O18)</f>
        <v/>
      </c>
      <c r="Q18" s="58">
        <f>IF(O18="N/A","N/A",O18-P18)</f>
        <v/>
      </c>
    </row>
    <row r="19" customFormat="1" s="23">
      <c r="A19" s="14" t="n">
        <v>17</v>
      </c>
      <c r="B19" s="235" t="n"/>
      <c r="C19" s="87" t="inlineStr">
        <is>
          <t>重要信息资源安全标记完整性</t>
        </is>
      </c>
      <c r="D19" s="14">
        <f>IF(VLOOKUP($C$19,'4应用和数据安全'!$A$5:$L$111,12,FALSE)=D$2,"√","")</f>
        <v/>
      </c>
      <c r="E19" s="14">
        <f>IF(VLOOKUP($C$19,'4应用和数据安全'!$A$5:$L$111,12,FALSE)=E$2,"√","")</f>
        <v/>
      </c>
      <c r="F19" s="14">
        <f>IF(VLOOKUP($C$19,'4应用和数据安全'!$A$5:$L$111,12,FALSE)=F$2,"√","")</f>
        <v/>
      </c>
      <c r="G19" s="14">
        <f>IF(VLOOKUP($C$19,'4应用和数据安全'!$A$5:$L$111,12,FALSE)=G$2,"√","")</f>
        <v/>
      </c>
      <c r="H19" s="249">
        <f>VLOOKUP($C19,'4应用和数据安全'!A:L,11,0)</f>
        <v/>
      </c>
      <c r="I19" s="250" t="n">
        <v>0.4</v>
      </c>
      <c r="J19" s="235" t="n"/>
      <c r="K19" s="235" t="n"/>
      <c r="L19" s="230" t="n"/>
      <c r="M19" s="235" t="n"/>
      <c r="N19" s="60">
        <f>IF(D19="√","符合",IF(E19="√","部分符合",IF(F19="√","不符合","不适用")))</f>
        <v/>
      </c>
      <c r="O19" s="58">
        <f>IF(H19="N/A","N/A",M$17*I19/SUMIF(H$17:H$24,"&lt;&gt;N/A",I$17:I$24))</f>
        <v/>
      </c>
      <c r="P19" s="58">
        <f>IF(H19="N/A","N/A",H19*O19)</f>
        <v/>
      </c>
      <c r="Q19" s="58">
        <f>IF(O19="N/A","N/A",O19-P19)</f>
        <v/>
      </c>
    </row>
    <row r="20" customFormat="1" s="23">
      <c r="A20" s="14" t="n">
        <v>18</v>
      </c>
      <c r="B20" s="235" t="n"/>
      <c r="C20" s="87" t="inlineStr">
        <is>
          <t>重要数据传输机密性</t>
        </is>
      </c>
      <c r="D20" s="14">
        <f>IF(VLOOKUP($C$20,'4应用和数据安全'!$A$5:$L$111,12,FALSE)=D$2,"√","")</f>
        <v/>
      </c>
      <c r="E20" s="14">
        <f>IF(VLOOKUP($C$20,'4应用和数据安全'!$A$5:$L$111,12,FALSE)=E$2,"√","")</f>
        <v/>
      </c>
      <c r="F20" s="14">
        <f>IF(VLOOKUP($C$20,'4应用和数据安全'!$A$5:$L$111,12,FALSE)=F$2,"√","")</f>
        <v/>
      </c>
      <c r="G20" s="14">
        <f>IF(VLOOKUP($C$20,'4应用和数据安全'!$A$5:$L$111,12,FALSE)=G$2,"√","")</f>
        <v/>
      </c>
      <c r="H20" s="249">
        <f>VLOOKUP($C20,'4应用和数据安全'!A:L,11,0)</f>
        <v/>
      </c>
      <c r="I20" s="250" t="n">
        <v>1</v>
      </c>
      <c r="J20" s="235" t="n"/>
      <c r="K20" s="235" t="n"/>
      <c r="L20" s="230" t="n"/>
      <c r="M20" s="235" t="n"/>
      <c r="N20" s="60">
        <f>IF(D20="√","符合",IF(E20="√","部分符合",IF(F20="√","不符合","不适用")))</f>
        <v/>
      </c>
      <c r="O20" s="58">
        <f>IF(H20="N/A","N/A",M$17*I20/SUMIF(H$17:H$24,"&lt;&gt;N/A",I$17:I$24))</f>
        <v/>
      </c>
      <c r="P20" s="58">
        <f>IF(H20="N/A","N/A",H20*O20)</f>
        <v/>
      </c>
      <c r="Q20" s="58">
        <f>IF(O20="N/A","N/A",O20-P20)</f>
        <v/>
      </c>
    </row>
    <row r="21" customFormat="1" s="23">
      <c r="A21" s="14" t="n">
        <v>19</v>
      </c>
      <c r="B21" s="235" t="n"/>
      <c r="C21" s="87" t="inlineStr">
        <is>
          <t>重要数据存储机密性</t>
        </is>
      </c>
      <c r="D21" s="14">
        <f>IF(VLOOKUP($C$21,'4应用和数据安全'!$A$5:$L$111,12,FALSE)=D$2,"√","")</f>
        <v/>
      </c>
      <c r="E21" s="14">
        <f>IF(VLOOKUP($C$21,'4应用和数据安全'!$A$5:$L$111,12,FALSE)=E$2,"√","")</f>
        <v/>
      </c>
      <c r="F21" s="14">
        <f>IF(VLOOKUP($C$21,'4应用和数据安全'!$A$5:$L$111,12,FALSE)=F$2,"√","")</f>
        <v/>
      </c>
      <c r="G21" s="14">
        <f>IF(VLOOKUP($C$21,'4应用和数据安全'!$A$5:$L$111,12,FALSE)=G$2,"√","")</f>
        <v/>
      </c>
      <c r="H21" s="249">
        <f>VLOOKUP($C21,'4应用和数据安全'!A:L,11,0)</f>
        <v/>
      </c>
      <c r="I21" s="250" t="n">
        <v>1</v>
      </c>
      <c r="J21" s="235" t="n"/>
      <c r="K21" s="235" t="n"/>
      <c r="L21" s="230" t="n"/>
      <c r="M21" s="235" t="n"/>
      <c r="N21" s="60">
        <f>IF(D21="√","符合",IF(E21="√","部分符合",IF(F21="√","不符合","不适用")))</f>
        <v/>
      </c>
      <c r="O21" s="58">
        <f>IF(H21="N/A","N/A",M$17*I21/SUMIF(H$17:H$24,"&lt;&gt;N/A",I$17:I$24))</f>
        <v/>
      </c>
      <c r="P21" s="58">
        <f>IF(H21="N/A","N/A",H21*O21)</f>
        <v/>
      </c>
      <c r="Q21" s="58">
        <f>IF(O21="N/A","N/A",O21-P21)</f>
        <v/>
      </c>
    </row>
    <row r="22" customFormat="1" s="23">
      <c r="A22" s="14" t="n">
        <v>20</v>
      </c>
      <c r="B22" s="235" t="n"/>
      <c r="C22" s="87" t="inlineStr">
        <is>
          <t>重要数据传输完整性</t>
        </is>
      </c>
      <c r="D22" s="14">
        <f>IF(VLOOKUP($C$22,'4应用和数据安全'!$A$5:$L$111,12,FALSE)=D$2,"√","")</f>
        <v/>
      </c>
      <c r="E22" s="14">
        <f>IF(VLOOKUP($C$22,'4应用和数据安全'!$A$5:$L$111,12,FALSE)=E$2,"√","")</f>
        <v/>
      </c>
      <c r="F22" s="14">
        <f>IF(VLOOKUP($C$22,'4应用和数据安全'!$A$5:$L$111,12,FALSE)=F$2,"√","")</f>
        <v/>
      </c>
      <c r="G22" s="14">
        <f>IF(VLOOKUP($C$22,'4应用和数据安全'!$A$5:$L$111,12,FALSE)=G$2,"√","")</f>
        <v/>
      </c>
      <c r="H22" s="249">
        <f>VLOOKUP($C22,'4应用和数据安全'!A:L,11,0)</f>
        <v/>
      </c>
      <c r="I22" s="250" t="n">
        <v>0.7</v>
      </c>
      <c r="J22" s="235" t="n"/>
      <c r="K22" s="235" t="n"/>
      <c r="L22" s="230" t="n"/>
      <c r="M22" s="235" t="n"/>
      <c r="N22" s="60">
        <f>IF(D22="√","符合",IF(E22="√","部分符合",IF(F22="√","不符合","不适用")))</f>
        <v/>
      </c>
      <c r="O22" s="58">
        <f>IF(H22="N/A","N/A",M$17*I22/SUMIF(H$17:H$24,"&lt;&gt;N/A",I$17:I$24))</f>
        <v/>
      </c>
      <c r="P22" s="58">
        <f>IF(H22="N/A","N/A",H22*O22)</f>
        <v/>
      </c>
      <c r="Q22" s="58">
        <f>IF(O22="N/A","N/A",O22-P22)</f>
        <v/>
      </c>
    </row>
    <row r="23" customFormat="1" s="23">
      <c r="A23" s="14" t="n">
        <v>21</v>
      </c>
      <c r="B23" s="235" t="n"/>
      <c r="C23" s="87" t="inlineStr">
        <is>
          <t>重要数据存储完整性</t>
        </is>
      </c>
      <c r="D23" s="14">
        <f>IF(VLOOKUP($C$23,'4应用和数据安全'!$A$5:$L$111,12,FALSE)=D$2,"√","")</f>
        <v/>
      </c>
      <c r="E23" s="14">
        <f>IF(VLOOKUP($C$23,'4应用和数据安全'!$A$5:$L$111,12,FALSE)=E$2,"√","")</f>
        <v/>
      </c>
      <c r="F23" s="14">
        <f>IF(VLOOKUP($C$23,'4应用和数据安全'!$A$5:$L$111,12,FALSE)=F$2,"√","")</f>
        <v/>
      </c>
      <c r="G23" s="14">
        <f>IF(VLOOKUP($C$23,'4应用和数据安全'!$A$5:$L$111,12,FALSE)=G$2,"√","")</f>
        <v/>
      </c>
      <c r="H23" s="249">
        <f>VLOOKUP($C23,'4应用和数据安全'!A:L,11,0)</f>
        <v/>
      </c>
      <c r="I23" s="250" t="n">
        <v>0.7</v>
      </c>
      <c r="J23" s="235" t="n"/>
      <c r="K23" s="235" t="n"/>
      <c r="L23" s="230" t="n"/>
      <c r="M23" s="235" t="n"/>
      <c r="N23" s="60">
        <f>IF(D23="√","符合",IF(E23="√","部分符合",IF(F23="√","不符合","不适用")))</f>
        <v/>
      </c>
      <c r="O23" s="58">
        <f>IF(H23="N/A","N/A",M$17*I23/SUMIF(H$17:H$24,"&lt;&gt;N/A",I$17:I$24))</f>
        <v/>
      </c>
      <c r="P23" s="58">
        <f>IF(H23="N/A","N/A",H23*O23)</f>
        <v/>
      </c>
      <c r="Q23" s="58">
        <f>IF(O23="N/A","N/A",O23-P23)</f>
        <v/>
      </c>
    </row>
    <row r="24" customFormat="1" s="23">
      <c r="A24" s="14" t="n">
        <v>22</v>
      </c>
      <c r="B24" s="229" t="n"/>
      <c r="C24" s="87" t="inlineStr">
        <is>
          <t>不可否认性</t>
        </is>
      </c>
      <c r="D24" s="14">
        <f>IF(VLOOKUP($C$24,'4应用和数据安全'!$A$5:$L$111,12,FALSE)=D$2,"√","")</f>
        <v/>
      </c>
      <c r="E24" s="14">
        <f>IF(VLOOKUP($C$24,'4应用和数据安全'!$A$5:$L$111,12,FALSE)=E$2,"√","")</f>
        <v/>
      </c>
      <c r="F24" s="14">
        <f>IF(VLOOKUP($C$24,'4应用和数据安全'!$A$5:$L$111,12,FALSE)=F$2,"√","")</f>
        <v/>
      </c>
      <c r="G24" s="14">
        <f>IF(VLOOKUP($C$24,'4应用和数据安全'!$A$5:$L$111,12,FALSE)=G$2,"√","")</f>
        <v/>
      </c>
      <c r="H24" s="249">
        <f>VLOOKUP($C24,'4应用和数据安全'!A:L,11,0)</f>
        <v/>
      </c>
      <c r="I24" s="250" t="n">
        <v>1</v>
      </c>
      <c r="J24" s="229" t="n"/>
      <c r="K24" s="229" t="n"/>
      <c r="L24" s="230" t="n"/>
      <c r="M24" s="229" t="n"/>
      <c r="N24" s="60">
        <f>IF(D24="√","符合",IF(E24="√","部分符合",IF(F24="√","不符合","不适用")))</f>
        <v/>
      </c>
      <c r="O24" s="58">
        <f>IF(H24="N/A","N/A",M$17*I24/SUMIF(H$17:H$24,"&lt;&gt;N/A",I$17:I$24))</f>
        <v/>
      </c>
      <c r="P24" s="58">
        <f>IF(H24="N/A","N/A",H24*O24)</f>
        <v/>
      </c>
      <c r="Q24" s="58">
        <f>IF(O24="N/A","N/A",O24-P24)</f>
        <v/>
      </c>
    </row>
    <row r="25">
      <c r="A25" s="40" t="n">
        <v>23</v>
      </c>
      <c r="B25" s="88" t="inlineStr">
        <is>
          <t>管理制度</t>
        </is>
      </c>
      <c r="C25" s="88" t="inlineStr">
        <is>
          <t>具备密码应用安全管理制度</t>
        </is>
      </c>
      <c r="D25" s="40">
        <f>IF(HLOOKUP($C25,'5管理制度'!$C$2:$H$5,4,FALSE)=D$2,"√","")</f>
        <v/>
      </c>
      <c r="E25" s="40">
        <f>IF(HLOOKUP($C25,'5管理制度'!$C$2:$H$5,4,FALSE)=E$2,"√","")</f>
        <v/>
      </c>
      <c r="F25" s="40">
        <f>IF(HLOOKUP($C25,'5管理制度'!$C$2:$H$5,4,FALSE)=F$2,"√","")</f>
        <v/>
      </c>
      <c r="G25" s="40">
        <f>IF(HLOOKUP($C25,'5管理制度'!$C$2:$H$5,4,FALSE)=G$2,"√","")</f>
        <v/>
      </c>
      <c r="H25" s="252">
        <f>HLOOKUP(C25,'5管理制度'!$C$2:$H$4,3,0)</f>
        <v/>
      </c>
      <c r="I25" s="253" t="n">
        <v>1</v>
      </c>
      <c r="J25" s="254">
        <f>IF(COUNTIF(H25:H30,"N/A")=COUNTA(H25:H30),"N/A",SUMPRODUCT(H25:H30,I25:I30)/SUMIF(H25:H30,"&lt;&gt;N/A",I25:I30))</f>
        <v/>
      </c>
      <c r="K25" s="255" t="n">
        <v>8</v>
      </c>
      <c r="L25" s="230" t="n"/>
      <c r="M25" s="255">
        <f>IF(J25="N/A","N/A",8*30/SUMIF(J25:J43,"&lt;&gt;N/A",K25:K43))</f>
        <v/>
      </c>
      <c r="N25" s="57">
        <f>IF(D25="√","符合",IF(E25="√","部分符合",IF(F25="√","不符合","不适用")))</f>
        <v/>
      </c>
      <c r="O25" s="58">
        <f>IF(H25="N/A","N/A",M$25*I25/SUMIF(H$25:H$30,"&lt;&gt;N/A",I$25:I$30))</f>
        <v/>
      </c>
      <c r="P25" s="58">
        <f>IF(H25="N/A","N/A",H25*O25)</f>
        <v/>
      </c>
      <c r="Q25" s="58">
        <f>IF(O25="N/A","N/A",O25-P25)</f>
        <v/>
      </c>
    </row>
    <row r="26">
      <c r="A26" s="40" t="n">
        <v>24</v>
      </c>
      <c r="B26" s="235" t="n"/>
      <c r="C26" s="88" t="inlineStr">
        <is>
          <t>密钥管理规则</t>
        </is>
      </c>
      <c r="D26" s="40">
        <f>IF(HLOOKUP($C26,'5管理制度'!$C$2:$H$5,4,FALSE)=D$2,"√","")</f>
        <v/>
      </c>
      <c r="E26" s="40">
        <f>IF(HLOOKUP($C26,'5管理制度'!$C$2:$H$5,4,FALSE)=E$2,"√","")</f>
        <v/>
      </c>
      <c r="F26" s="40">
        <f>IF(HLOOKUP($C26,'5管理制度'!$C$2:$H$5,4,FALSE)=F$2,"√","")</f>
        <v/>
      </c>
      <c r="G26" s="40">
        <f>IF(HLOOKUP($C26,'5管理制度'!$C$2:$H$5,4,FALSE)=G$2,"√","")</f>
        <v/>
      </c>
      <c r="H26" s="252">
        <f>HLOOKUP(C26,'5管理制度'!$C$2:$H$4,3,0)</f>
        <v/>
      </c>
      <c r="I26" s="253" t="n">
        <v>0.7</v>
      </c>
      <c r="J26" s="235" t="n"/>
      <c r="K26" s="235" t="n"/>
      <c r="L26" s="230" t="n"/>
      <c r="M26" s="235" t="n"/>
      <c r="N26" s="57">
        <f>IF(D26="√","符合",IF(E26="√","部分符合",IF(F26="√","不符合","不适用")))</f>
        <v/>
      </c>
      <c r="O26" s="58">
        <f>IF(H26="N/A","N/A",M$25*I26/SUMIF(H$25:H$30,"&lt;&gt;N/A",I$25:I$30))</f>
        <v/>
      </c>
      <c r="P26" s="58">
        <f>IF(H26="N/A","N/A",H26*O26)</f>
        <v/>
      </c>
      <c r="Q26" s="58">
        <f>IF(O26="N/A","N/A",O26-P26)</f>
        <v/>
      </c>
    </row>
    <row r="27">
      <c r="A27" s="40" t="n">
        <v>25</v>
      </c>
      <c r="B27" s="235" t="n"/>
      <c r="C27" s="88" t="inlineStr">
        <is>
          <t>建立操作规程</t>
        </is>
      </c>
      <c r="D27" s="40">
        <f>IF(HLOOKUP($C27,'5管理制度'!$C$2:$H$5,4,FALSE)=D$2,"√","")</f>
        <v/>
      </c>
      <c r="E27" s="40">
        <f>IF(HLOOKUP($C27,'5管理制度'!$C$2:$H$5,4,FALSE)=E$2,"√","")</f>
        <v/>
      </c>
      <c r="F27" s="40">
        <f>IF(HLOOKUP($C27,'5管理制度'!$C$2:$H$5,4,FALSE)=F$2,"√","")</f>
        <v/>
      </c>
      <c r="G27" s="40">
        <f>IF(HLOOKUP($C27,'5管理制度'!$C$2:$H$5,4,FALSE)=G$2,"√","")</f>
        <v/>
      </c>
      <c r="H27" s="252">
        <f>HLOOKUP(C27,'5管理制度'!$C$2:$H$4,3,0)</f>
        <v/>
      </c>
      <c r="I27" s="253" t="n">
        <v>0.7</v>
      </c>
      <c r="J27" s="235" t="n"/>
      <c r="K27" s="235" t="n"/>
      <c r="L27" s="230" t="n"/>
      <c r="M27" s="235" t="n"/>
      <c r="N27" s="57">
        <f>IF(D27="√","符合",IF(E27="√","部分符合",IF(F27="√","不符合","不适用")))</f>
        <v/>
      </c>
      <c r="O27" s="58">
        <f>IF(H27="N/A","N/A",M$25*I27/SUMIF(H$25:H$30,"&lt;&gt;N/A",I$25:I$30))</f>
        <v/>
      </c>
      <c r="P27" s="58">
        <f>IF(H27="N/A","N/A",H27*O27)</f>
        <v/>
      </c>
      <c r="Q27" s="58">
        <f>IF(O27="N/A","N/A",O27-P27)</f>
        <v/>
      </c>
    </row>
    <row r="28">
      <c r="A28" s="40" t="n">
        <v>26</v>
      </c>
      <c r="B28" s="235" t="n"/>
      <c r="C28" s="88" t="inlineStr">
        <is>
          <t>定期修订安全管理制度</t>
        </is>
      </c>
      <c r="D28" s="40">
        <f>IF(HLOOKUP($C28,'5管理制度'!$C$2:$H$5,4,FALSE)=D$2,"√","")</f>
        <v/>
      </c>
      <c r="E28" s="40">
        <f>IF(HLOOKUP($C28,'5管理制度'!$C$2:$H$5,4,FALSE)=E$2,"√","")</f>
        <v/>
      </c>
      <c r="F28" s="40">
        <f>IF(HLOOKUP($C28,'5管理制度'!$C$2:$H$5,4,FALSE)=F$2,"√","")</f>
        <v/>
      </c>
      <c r="G28" s="40">
        <f>IF(HLOOKUP($C28,'5管理制度'!$C$2:$H$5,4,FALSE)=G$2,"√","")</f>
        <v/>
      </c>
      <c r="H28" s="252">
        <f>HLOOKUP(C28,'5管理制度'!$C$2:$H$4,3,0)</f>
        <v/>
      </c>
      <c r="I28" s="253" t="n">
        <v>0.7</v>
      </c>
      <c r="J28" s="235" t="n"/>
      <c r="K28" s="235" t="n"/>
      <c r="L28" s="230" t="n"/>
      <c r="M28" s="235" t="n"/>
      <c r="N28" s="57">
        <f>IF(D28="√","符合",IF(E28="√","部分符合",IF(F28="√","不符合","不适用")))</f>
        <v/>
      </c>
      <c r="O28" s="58">
        <f>IF(H28="N/A","N/A",M$25*I28/SUMIF(H$25:H$30,"&lt;&gt;N/A",I$25:I$30))</f>
        <v/>
      </c>
      <c r="P28" s="58">
        <f>IF(H28="N/A","N/A",H28*O28)</f>
        <v/>
      </c>
      <c r="Q28" s="58">
        <f>IF(O28="N/A","N/A",O28-P28)</f>
        <v/>
      </c>
    </row>
    <row r="29">
      <c r="A29" s="40" t="n">
        <v>27</v>
      </c>
      <c r="B29" s="235" t="n"/>
      <c r="C29" s="88" t="inlineStr">
        <is>
          <t>明确管理制度发布流程</t>
        </is>
      </c>
      <c r="D29" s="40">
        <f>IF(HLOOKUP($C29,'5管理制度'!$C$2:$H$5,4,FALSE)=D$2,"√","")</f>
        <v/>
      </c>
      <c r="E29" s="40">
        <f>IF(HLOOKUP($C29,'5管理制度'!$C$2:$H$5,4,FALSE)=E$2,"√","")</f>
        <v/>
      </c>
      <c r="F29" s="40">
        <f>IF(HLOOKUP($C29,'5管理制度'!$C$2:$H$5,4,FALSE)=F$2,"√","")</f>
        <v/>
      </c>
      <c r="G29" s="40">
        <f>IF(HLOOKUP($C29,'5管理制度'!$C$2:$H$5,4,FALSE)=G$2,"√","")</f>
        <v/>
      </c>
      <c r="H29" s="252">
        <f>HLOOKUP(C29,'5管理制度'!$C$2:$H$4,3,0)</f>
        <v/>
      </c>
      <c r="I29" s="253" t="n">
        <v>0.7</v>
      </c>
      <c r="J29" s="235" t="n"/>
      <c r="K29" s="235" t="n"/>
      <c r="L29" s="230" t="n"/>
      <c r="M29" s="235" t="n"/>
      <c r="N29" s="57">
        <f>IF(D29="√","符合",IF(E29="√","部分符合",IF(F29="√","不符合","不适用")))</f>
        <v/>
      </c>
      <c r="O29" s="58">
        <f>IF(H29="N/A","N/A",M$25*I29/SUMIF(H$25:H$30,"&lt;&gt;N/A",I$25:I$30))</f>
        <v/>
      </c>
      <c r="P29" s="58">
        <f>IF(H29="N/A","N/A",H29*O29)</f>
        <v/>
      </c>
      <c r="Q29" s="58">
        <f>IF(O29="N/A","N/A",O29-P29)</f>
        <v/>
      </c>
    </row>
    <row r="30">
      <c r="A30" s="40" t="n">
        <v>28</v>
      </c>
      <c r="B30" s="229" t="n"/>
      <c r="C30" s="88" t="inlineStr">
        <is>
          <t>制度执行过程记录留存</t>
        </is>
      </c>
      <c r="D30" s="40">
        <f>IF(HLOOKUP($C30,'5管理制度'!$C$2:$H$5,4,FALSE)=D$2,"√","")</f>
        <v/>
      </c>
      <c r="E30" s="40">
        <f>IF(HLOOKUP($C30,'5管理制度'!$C$2:$H$5,4,FALSE)=E$2,"√","")</f>
        <v/>
      </c>
      <c r="F30" s="40">
        <f>IF(HLOOKUP($C30,'5管理制度'!$C$2:$H$5,4,FALSE)=F$2,"√","")</f>
        <v/>
      </c>
      <c r="G30" s="40">
        <f>IF(HLOOKUP($C30,'5管理制度'!$C$2:$H$5,4,FALSE)=G$2,"√","")</f>
        <v/>
      </c>
      <c r="H30" s="252">
        <f>HLOOKUP(C30,'5管理制度'!$C$2:$H$4,3,0)</f>
        <v/>
      </c>
      <c r="I30" s="253" t="n">
        <v>0.7</v>
      </c>
      <c r="J30" s="229" t="n"/>
      <c r="K30" s="229" t="n"/>
      <c r="L30" s="230" t="n"/>
      <c r="M30" s="229" t="n"/>
      <c r="N30" s="57">
        <f>IF(D30="√","符合",IF(E30="√","部分符合",IF(F30="√","不符合","不适用")))</f>
        <v/>
      </c>
      <c r="O30" s="58">
        <f>IF(H30="N/A","N/A",M$25*I30/SUMIF(H$25:H$30,"&lt;&gt;N/A",I$25:I$30))</f>
        <v/>
      </c>
      <c r="P30" s="58">
        <f>IF(H30="N/A","N/A",H30*O30)</f>
        <v/>
      </c>
      <c r="Q30" s="58">
        <f>IF(O30="N/A","N/A",O30-P30)</f>
        <v/>
      </c>
    </row>
    <row r="31" ht="27.45" customFormat="1" customHeight="1" s="23">
      <c r="A31" s="43" t="n">
        <v>29</v>
      </c>
      <c r="B31" s="89" t="inlineStr">
        <is>
          <t>人员管理</t>
        </is>
      </c>
      <c r="C31" s="89" t="inlineStr">
        <is>
          <t>了解并遵守密码相关法律法规和密码管理制度</t>
        </is>
      </c>
      <c r="D31" s="43">
        <f>IF(HLOOKUP($C31,'6人员管理'!$C$2:$G$5,4,FALSE)=D$2,"√","")</f>
        <v/>
      </c>
      <c r="E31" s="43">
        <f>IF(HLOOKUP($C31,'6人员管理'!$C$2:$G$5,4,FALSE)=E$2,"√","")</f>
        <v/>
      </c>
      <c r="F31" s="43">
        <f>IF(HLOOKUP($C31,'6人员管理'!$C$2:$G$5,4,FALSE)=F$2,"√","")</f>
        <v/>
      </c>
      <c r="G31" s="43">
        <f>IF(HLOOKUP($C31,'6人员管理'!$C$2:$G$5,4,FALSE)=G$2,"√","")</f>
        <v/>
      </c>
      <c r="H31" s="256">
        <f>HLOOKUP(C31,'6人员管理'!$C$2:$G$4,3,0)</f>
        <v/>
      </c>
      <c r="I31" s="257" t="n">
        <v>0.7</v>
      </c>
      <c r="J31" s="258">
        <f>IF(COUNTIF(H31:H35,"N/A")=COUNTA(H31:H35),"N/A",SUMPRODUCT(H31:H35,I31:I35)/SUMIF(H31:H35,"&lt;&gt;N/A",I31:I35))</f>
        <v/>
      </c>
      <c r="K31" s="259" t="n">
        <v>8</v>
      </c>
      <c r="L31" s="230" t="n"/>
      <c r="M31" s="259">
        <f>IF(J31="N/A","N/A",8*30/SUMIF(J25:J43,"&lt;&gt;N/A",K25:K43))</f>
        <v/>
      </c>
      <c r="N31" s="60">
        <f>IF(D31="√","符合",IF(E31="√","部分符合",IF(F31="√","不符合","不适用")))</f>
        <v/>
      </c>
      <c r="O31" s="58">
        <f>IF(H31="N/A","N/A",M$31*I31/SUMIF(H$31:H$35,"&lt;&gt;N/A",I$31:I$35))</f>
        <v/>
      </c>
      <c r="P31" s="58">
        <f>IF(H31="N/A","N/A",H31*O31)</f>
        <v/>
      </c>
      <c r="Q31" s="58">
        <f>IF(O31="N/A","N/A",O31-P31)</f>
        <v/>
      </c>
    </row>
    <row r="32" customFormat="1" s="23">
      <c r="A32" s="43" t="n">
        <v>30</v>
      </c>
      <c r="B32" s="235" t="n"/>
      <c r="C32" s="46" t="inlineStr">
        <is>
          <t>建立密码应用岗位责任制度</t>
        </is>
      </c>
      <c r="D32" s="43">
        <f>IF(HLOOKUP($C32,'6人员管理'!$C$2:$G$5,4,FALSE)=D$2,"√","")</f>
        <v/>
      </c>
      <c r="E32" s="43">
        <f>IF(HLOOKUP($C32,'6人员管理'!$C$2:$G$5,4,FALSE)=E$2,"√","")</f>
        <v/>
      </c>
      <c r="F32" s="43">
        <f>IF(HLOOKUP($C32,'6人员管理'!$C$2:$G$5,4,FALSE)=F$2,"√","")</f>
        <v/>
      </c>
      <c r="G32" s="43">
        <f>IF(HLOOKUP($C32,'6人员管理'!$C$2:$G$5,4,FALSE)=G$2,"√","")</f>
        <v/>
      </c>
      <c r="H32" s="256">
        <f>HLOOKUP(C32,'6人员管理'!$C$2:$G$4,3,0)</f>
        <v/>
      </c>
      <c r="I32" s="257" t="n">
        <v>1</v>
      </c>
      <c r="J32" s="235" t="n"/>
      <c r="K32" s="235" t="n"/>
      <c r="L32" s="230" t="n"/>
      <c r="M32" s="235" t="n"/>
      <c r="N32" s="60">
        <f>IF(D32="√","符合",IF(E32="√","部分符合",IF(F32="√","不符合","不适用")))</f>
        <v/>
      </c>
      <c r="O32" s="58">
        <f>IF(H32="N/A","N/A",M$31*I32/SUMIF(H$31:H$35,"&lt;&gt;N/A",I$31:I$35))</f>
        <v/>
      </c>
      <c r="P32" s="58">
        <f>IF(H32="N/A","N/A",H32*O32)</f>
        <v/>
      </c>
      <c r="Q32" s="58">
        <f>IF(O32="N/A","N/A",O32-P32)</f>
        <v/>
      </c>
    </row>
    <row r="33" customFormat="1" s="23">
      <c r="A33" s="43" t="n">
        <v>31</v>
      </c>
      <c r="B33" s="235" t="n"/>
      <c r="C33" s="89" t="inlineStr">
        <is>
          <t>建立上岗人员培训制度</t>
        </is>
      </c>
      <c r="D33" s="43">
        <f>IF(HLOOKUP($C33,'6人员管理'!$C$2:$G$5,4,FALSE)=D$2,"√","")</f>
        <v/>
      </c>
      <c r="E33" s="43">
        <f>IF(HLOOKUP($C33,'6人员管理'!$C$2:$G$5,4,FALSE)=E$2,"√","")</f>
        <v/>
      </c>
      <c r="F33" s="43">
        <f>IF(HLOOKUP($C33,'6人员管理'!$C$2:$G$5,4,FALSE)=F$2,"√","")</f>
        <v/>
      </c>
      <c r="G33" s="43">
        <f>IF(HLOOKUP($C33,'6人员管理'!$C$2:$G$5,4,FALSE)=G$2,"√","")</f>
        <v/>
      </c>
      <c r="H33" s="256">
        <f>HLOOKUP(C33,'6人员管理'!$C$2:$G$4,3,0)</f>
        <v/>
      </c>
      <c r="I33" s="257" t="n">
        <v>0.7</v>
      </c>
      <c r="J33" s="235" t="n"/>
      <c r="K33" s="235" t="n"/>
      <c r="L33" s="230" t="n"/>
      <c r="M33" s="235" t="n"/>
      <c r="N33" s="60">
        <f>IF(D33="√","符合",IF(E33="√","部分符合",IF(F33="√","不符合","不适用")))</f>
        <v/>
      </c>
      <c r="O33" s="58">
        <f>IF(H33="N/A","N/A",M$31*I33/SUMIF(H$31:H$35,"&lt;&gt;N/A",I$31:I$35))</f>
        <v/>
      </c>
      <c r="P33" s="58">
        <f>IF(H33="N/A","N/A",H33*O33)</f>
        <v/>
      </c>
      <c r="Q33" s="58">
        <f>IF(O33="N/A","N/A",O33-P33)</f>
        <v/>
      </c>
    </row>
    <row r="34" customFormat="1" s="23">
      <c r="A34" s="43" t="n">
        <v>32</v>
      </c>
      <c r="B34" s="235" t="n"/>
      <c r="C34" s="89" t="inlineStr">
        <is>
          <t>定期进行安全岗位人员考核</t>
        </is>
      </c>
      <c r="D34" s="43">
        <f>IF(HLOOKUP($C34,'6人员管理'!$C$2:$G$5,4,FALSE)=D$2,"√","")</f>
        <v/>
      </c>
      <c r="E34" s="43">
        <f>IF(HLOOKUP($C34,'6人员管理'!$C$2:$G$5,4,FALSE)=E$2,"√","")</f>
        <v/>
      </c>
      <c r="F34" s="43">
        <f>IF(HLOOKUP($C34,'6人员管理'!$C$2:$G$5,4,FALSE)=F$2,"√","")</f>
        <v/>
      </c>
      <c r="G34" s="43">
        <f>IF(HLOOKUP($C34,'6人员管理'!$C$2:$G$5,4,FALSE)=G$2,"√","")</f>
        <v/>
      </c>
      <c r="H34" s="256">
        <f>HLOOKUP(C34,'6人员管理'!$C$2:$G$4,3,0)</f>
        <v/>
      </c>
      <c r="I34" s="257" t="n">
        <v>0.7</v>
      </c>
      <c r="J34" s="235" t="n"/>
      <c r="K34" s="235" t="n"/>
      <c r="L34" s="230" t="n"/>
      <c r="M34" s="235" t="n"/>
      <c r="N34" s="60">
        <f>IF(D34="√","符合",IF(E34="√","部分符合",IF(F34="√","不符合","不适用")))</f>
        <v/>
      </c>
      <c r="O34" s="58">
        <f>IF(H34="N/A","N/A",M$31*I34/SUMIF(H$31:H$35,"&lt;&gt;N/A",I$31:I$35))</f>
        <v/>
      </c>
      <c r="P34" s="58">
        <f>IF(H34="N/A","N/A",H34*O34)</f>
        <v/>
      </c>
      <c r="Q34" s="58">
        <f>IF(O34="N/A","N/A",O34-P34)</f>
        <v/>
      </c>
    </row>
    <row r="35" ht="27.45" customFormat="1" customHeight="1" s="23">
      <c r="A35" s="43" t="n">
        <v>33</v>
      </c>
      <c r="B35" s="229" t="n"/>
      <c r="C35" s="89" t="inlineStr">
        <is>
          <t>建立关键岗位人员保密制度和调离制度</t>
        </is>
      </c>
      <c r="D35" s="43">
        <f>IF(HLOOKUP($C35,'6人员管理'!$C$2:$G$5,4,FALSE)=D$2,"√","")</f>
        <v/>
      </c>
      <c r="E35" s="43">
        <f>IF(HLOOKUP($C35,'6人员管理'!$C$2:$G$5,4,FALSE)=E$2,"√","")</f>
        <v/>
      </c>
      <c r="F35" s="43">
        <f>IF(HLOOKUP($C35,'6人员管理'!$C$2:$G$5,4,FALSE)=F$2,"√","")</f>
        <v/>
      </c>
      <c r="G35" s="43">
        <f>IF(HLOOKUP($C35,'6人员管理'!$C$2:$G$5,4,FALSE)=G$2,"√","")</f>
        <v/>
      </c>
      <c r="H35" s="256">
        <f>HLOOKUP(C35,'6人员管理'!$C$2:$G$4,3,0)</f>
        <v/>
      </c>
      <c r="I35" s="257" t="n">
        <v>0.7</v>
      </c>
      <c r="J35" s="229" t="n"/>
      <c r="K35" s="229" t="n"/>
      <c r="L35" s="230" t="n"/>
      <c r="M35" s="229" t="n"/>
      <c r="N35" s="60">
        <f>IF(D35="√","符合",IF(E35="√","部分符合",IF(F35="√","不符合","不适用")))</f>
        <v/>
      </c>
      <c r="O35" s="58">
        <f>IF(H35="N/A","N/A",M$31*I35/SUMIF(H$31:H$35,"&lt;&gt;N/A",I$31:I$35))</f>
        <v/>
      </c>
      <c r="P35" s="58">
        <f>IF(H35="N/A","N/A",H35*O35)</f>
        <v/>
      </c>
      <c r="Q35" s="58">
        <f>IF(O35="N/A","N/A",O35-P35)</f>
        <v/>
      </c>
    </row>
    <row r="36">
      <c r="A36" s="47" t="n">
        <v>34</v>
      </c>
      <c r="B36" s="90" t="inlineStr">
        <is>
          <t>建设运行</t>
        </is>
      </c>
      <c r="C36" s="90" t="inlineStr">
        <is>
          <t>制定密码应用方案</t>
        </is>
      </c>
      <c r="D36" s="47">
        <f>IF(HLOOKUP($C36,'7建设运行'!$C$2:$G$5,4,FALSE)=D$2,"√","")</f>
        <v/>
      </c>
      <c r="E36" s="47">
        <f>IF(HLOOKUP($C36,'7建设运行'!$C$2:$G$5,4,FALSE)=E$2,"√","")</f>
        <v/>
      </c>
      <c r="F36" s="47">
        <f>IF(HLOOKUP($C36,'7建设运行'!$C$2:$G$5,4,FALSE)=F$2,"√","")</f>
        <v/>
      </c>
      <c r="G36" s="47">
        <f>IF(HLOOKUP($C36,'7建设运行'!$C$2:$G$5,4,FALSE)=G$2,"√","")</f>
        <v/>
      </c>
      <c r="H36" s="260">
        <f>HLOOKUP(C36,'7建设运行'!$C$2:$G$4,3,0)</f>
        <v/>
      </c>
      <c r="I36" s="261" t="n">
        <v>1</v>
      </c>
      <c r="J36" s="262">
        <f>IF(COUNTIF(H36:H40,"N/A")=COUNTA(H36:H40),"N/A",SUMPRODUCT(H36:H40,I36:I40)/SUMIF(H36:H40,"&lt;&gt;N/A",I36:I40))</f>
        <v/>
      </c>
      <c r="K36" s="263" t="n">
        <v>8</v>
      </c>
      <c r="L36" s="230" t="n"/>
      <c r="M36" s="263">
        <f>IF(J36="N/A","N/A",8*30/SUMIF(J25:J43,"&lt;&gt;N/A",K25:K43))</f>
        <v/>
      </c>
      <c r="N36" s="57">
        <f>IF(D36="√","符合",IF(E36="√","部分符合",IF(F36="√","不符合","不适用")))</f>
        <v/>
      </c>
      <c r="O36" s="58">
        <f>IF(H36="N/A","N/A",M$36*I36/SUMIF(H$36:H$40,"&lt;&gt;N/A",I$36:I$40))</f>
        <v/>
      </c>
      <c r="P36" s="58">
        <f>IF(H36="N/A","N/A",H36*O36)</f>
        <v/>
      </c>
      <c r="Q36" s="58">
        <f>IF(O36="N/A","N/A",O36-P36)</f>
        <v/>
      </c>
    </row>
    <row r="37">
      <c r="A37" s="47" t="n">
        <v>35</v>
      </c>
      <c r="B37" s="235" t="n"/>
      <c r="C37" s="90" t="inlineStr">
        <is>
          <t>制定密钥安全管理策略</t>
        </is>
      </c>
      <c r="D37" s="47">
        <f>IF(HLOOKUP($C37,'7建设运行'!$C$2:$G$5,4,FALSE)=D$2,"√","")</f>
        <v/>
      </c>
      <c r="E37" s="47">
        <f>IF(HLOOKUP($C37,'7建设运行'!$C$2:$G$5,4,FALSE)=E$2,"√","")</f>
        <v/>
      </c>
      <c r="F37" s="47">
        <f>IF(HLOOKUP($C37,'7建设运行'!$C$2:$G$5,4,FALSE)=F$2,"√","")</f>
        <v/>
      </c>
      <c r="G37" s="47">
        <f>IF(HLOOKUP($C37,'7建设运行'!$C$2:$G$5,4,FALSE)=G$2,"√","")</f>
        <v/>
      </c>
      <c r="H37" s="260">
        <f>HLOOKUP(C37,'7建设运行'!$C$2:$G$4,3,0)</f>
        <v/>
      </c>
      <c r="I37" s="261" t="n">
        <v>1</v>
      </c>
      <c r="J37" s="235" t="n"/>
      <c r="K37" s="235" t="n"/>
      <c r="L37" s="230" t="n"/>
      <c r="M37" s="235" t="n"/>
      <c r="N37" s="57">
        <f>IF(D37="√","符合",IF(E37="√","部分符合",IF(F37="√","不符合","不适用")))</f>
        <v/>
      </c>
      <c r="O37" s="58">
        <f>IF(H37="N/A","N/A",M$36*I37/SUMIF(H$36:H$40,"&lt;&gt;N/A",I$36:I$40))</f>
        <v/>
      </c>
      <c r="P37" s="58">
        <f>IF(H37="N/A","N/A",H37*O37)</f>
        <v/>
      </c>
      <c r="Q37" s="58">
        <f>IF(O37="N/A","N/A",O37-P37)</f>
        <v/>
      </c>
    </row>
    <row r="38">
      <c r="A38" s="47" t="n">
        <v>36</v>
      </c>
      <c r="B38" s="235" t="n"/>
      <c r="C38" s="90" t="inlineStr">
        <is>
          <t>制定实施方案</t>
        </is>
      </c>
      <c r="D38" s="47">
        <f>IF(HLOOKUP($C38,'7建设运行'!$C$2:$G$5,4,FALSE)=D$2,"√","")</f>
        <v/>
      </c>
      <c r="E38" s="47">
        <f>IF(HLOOKUP($C38,'7建设运行'!$C$2:$G$5,4,FALSE)=E$2,"√","")</f>
        <v/>
      </c>
      <c r="F38" s="47">
        <f>IF(HLOOKUP($C38,'7建设运行'!$C$2:$G$5,4,FALSE)=F$2,"√","")</f>
        <v/>
      </c>
      <c r="G38" s="47">
        <f>IF(HLOOKUP($C38,'7建设运行'!$C$2:$G$5,4,FALSE)=G$2,"√","")</f>
        <v/>
      </c>
      <c r="H38" s="260">
        <f>HLOOKUP(C38,'7建设运行'!$C$2:$G$4,3,0)</f>
        <v/>
      </c>
      <c r="I38" s="261" t="n">
        <v>0.7</v>
      </c>
      <c r="J38" s="235" t="n"/>
      <c r="K38" s="235" t="n"/>
      <c r="L38" s="230" t="n"/>
      <c r="M38" s="235" t="n"/>
      <c r="N38" s="57">
        <f>IF(D38="√","符合",IF(E38="√","部分符合",IF(F38="√","不符合","不适用")))</f>
        <v/>
      </c>
      <c r="O38" s="58">
        <f>IF(H38="N/A","N/A",M$36*I38/SUMIF(H$36:H$40,"&lt;&gt;N/A",I$36:I$40))</f>
        <v/>
      </c>
      <c r="P38" s="58">
        <f>IF(H38="N/A","N/A",H38*O38)</f>
        <v/>
      </c>
      <c r="Q38" s="58">
        <f>IF(O38="N/A","N/A",O38-P38)</f>
        <v/>
      </c>
    </row>
    <row r="39" ht="27.45" customHeight="1">
      <c r="A39" s="47" t="n">
        <v>37</v>
      </c>
      <c r="B39" s="235" t="n"/>
      <c r="C39" s="90" t="inlineStr">
        <is>
          <t>投入运行前进行密码应用安全性评估</t>
        </is>
      </c>
      <c r="D39" s="47">
        <f>IF(HLOOKUP($C39,'7建设运行'!$C$2:$G$5,4,FALSE)=D$2,"√","")</f>
        <v/>
      </c>
      <c r="E39" s="47">
        <f>IF(HLOOKUP($C39,'7建设运行'!$C$2:$G$5,4,FALSE)=E$2,"√","")</f>
        <v/>
      </c>
      <c r="F39" s="47">
        <f>IF(HLOOKUP($C39,'7建设运行'!$C$2:$G$5,4,FALSE)=F$2,"√","")</f>
        <v/>
      </c>
      <c r="G39" s="47">
        <f>IF(HLOOKUP($C39,'7建设运行'!$C$2:$G$5,4,FALSE)=G$2,"√","")</f>
        <v/>
      </c>
      <c r="H39" s="260">
        <f>HLOOKUP(C39,'7建设运行'!$C$2:$G$4,3,0)</f>
        <v/>
      </c>
      <c r="I39" s="261" t="n">
        <v>1</v>
      </c>
      <c r="J39" s="235" t="n"/>
      <c r="K39" s="235" t="n"/>
      <c r="L39" s="230" t="n"/>
      <c r="M39" s="235" t="n"/>
      <c r="N39" s="57">
        <f>IF(D39="√","符合",IF(E39="√","部分符合",IF(F39="√","不符合","不适用")))</f>
        <v/>
      </c>
      <c r="O39" s="58">
        <f>IF(H39="N/A","N/A",M$36*I39/SUMIF(H$36:H$40,"&lt;&gt;N/A",I$36:I$40))</f>
        <v/>
      </c>
      <c r="P39" s="58">
        <f>IF(H39="N/A","N/A",H39*O39)</f>
        <v/>
      </c>
      <c r="Q39" s="58">
        <f>IF(O39="N/A","N/A",O39-P39)</f>
        <v/>
      </c>
    </row>
    <row r="40" ht="27.45" customHeight="1">
      <c r="A40" s="47" t="n">
        <v>38</v>
      </c>
      <c r="B40" s="229" t="n"/>
      <c r="C40" s="90" t="inlineStr">
        <is>
          <t>定期开展密码应用安全性评估及攻防对抗演习</t>
        </is>
      </c>
      <c r="D40" s="47">
        <f>IF(HLOOKUP($C40,'7建设运行'!$C$2:$G$5,4,FALSE)=D$2,"√","")</f>
        <v/>
      </c>
      <c r="E40" s="47">
        <f>IF(HLOOKUP($C40,'7建设运行'!$C$2:$G$5,4,FALSE)=E$2,"√","")</f>
        <v/>
      </c>
      <c r="F40" s="47">
        <f>IF(HLOOKUP($C40,'7建设运行'!$C$2:$G$5,4,FALSE)=F$2,"√","")</f>
        <v/>
      </c>
      <c r="G40" s="47">
        <f>IF(HLOOKUP($C40,'7建设运行'!$C$2:$G$5,4,FALSE)=G$2,"√","")</f>
        <v/>
      </c>
      <c r="H40" s="260">
        <f>HLOOKUP(C40,'7建设运行'!$C$2:$G$4,3,0)</f>
        <v/>
      </c>
      <c r="I40" s="261" t="n">
        <v>0.7</v>
      </c>
      <c r="J40" s="235" t="n"/>
      <c r="K40" s="235" t="n"/>
      <c r="L40" s="230" t="n"/>
      <c r="M40" s="235" t="n"/>
      <c r="N40" s="57">
        <f>IF(D40="√","符合",IF(E40="√","部分符合",IF(F40="√","不符合","不适用")))</f>
        <v/>
      </c>
      <c r="O40" s="58">
        <f>IF(H40="N/A","N/A",M$36*I40/SUMIF(H$36:H$40,"&lt;&gt;N/A",I$36:I$40))</f>
        <v/>
      </c>
      <c r="P40" s="58">
        <f>IF(H40="N/A","N/A",H40*O40)</f>
        <v/>
      </c>
      <c r="Q40" s="58">
        <f>IF(O40="N/A","N/A",O40-P40)</f>
        <v/>
      </c>
    </row>
    <row r="41" customFormat="1" s="23">
      <c r="A41" s="50" t="n">
        <v>39</v>
      </c>
      <c r="B41" s="91" t="inlineStr">
        <is>
          <t>应急处置</t>
        </is>
      </c>
      <c r="C41" s="91" t="inlineStr">
        <is>
          <t>应急策略</t>
        </is>
      </c>
      <c r="D41" s="50">
        <f>IF(HLOOKUP($C41,'8应急处置'!$C$2:$E$5,4,FALSE)=D$2,"√","")</f>
        <v/>
      </c>
      <c r="E41" s="50">
        <f>IF(HLOOKUP($C41,'8应急处置'!$C$2:$E$5,4,FALSE)=E$2,"√","")</f>
        <v/>
      </c>
      <c r="F41" s="50">
        <f>IF(HLOOKUP($C41,'8应急处置'!$C$2:$E$5,4,FALSE)=F$2,"√","")</f>
        <v/>
      </c>
      <c r="G41" s="50">
        <f>IF(HLOOKUP($C41,'8应急处置'!$C$2:$E$5,4,FALSE)=G$2,"√","")</f>
        <v/>
      </c>
      <c r="H41" s="264">
        <f>HLOOKUP(C41,'8应急处置'!$C$2:$H$4,3,0)</f>
        <v/>
      </c>
      <c r="I41" s="265" t="n">
        <v>1</v>
      </c>
      <c r="J41" s="266">
        <f>IF(COUNTIF(H41:H43,"N/A")=COUNTA(H41:H43),"N/A",SUMPRODUCT(H41:H43,I41:I43)/SUMIF(H41:H43,"&lt;&gt;N/A",I41:I43))</f>
        <v/>
      </c>
      <c r="K41" s="267" t="n">
        <v>6</v>
      </c>
      <c r="L41" s="230" t="n"/>
      <c r="M41" s="267">
        <f>IF(J41="N/A","N/A",6*30/SUMIF(J25:J43,"&lt;&gt;N/A",K25:K43))</f>
        <v/>
      </c>
      <c r="N41" s="60">
        <f>IF(D41="√","符合",IF(E41="√","部分符合",IF(F41="√","不符合","不适用")))</f>
        <v/>
      </c>
      <c r="O41" s="58">
        <f>IF(H41="N/A","N/A",M$41*I41/SUMIF(H$41:H$43,"&lt;&gt;N/A",I$41:I$43))</f>
        <v/>
      </c>
      <c r="P41" s="58">
        <f>IF(H41="N/A","N/A",H41*O41)</f>
        <v/>
      </c>
      <c r="Q41" s="58">
        <f>IF(O41="N/A","N/A",O41-P41)</f>
        <v/>
      </c>
    </row>
    <row r="42" customFormat="1" s="23">
      <c r="A42" s="50" t="n">
        <v>40</v>
      </c>
      <c r="B42" s="235" t="n"/>
      <c r="C42" s="91" t="inlineStr">
        <is>
          <t>事件处置</t>
        </is>
      </c>
      <c r="D42" s="50">
        <f>IF(HLOOKUP($C42,'8应急处置'!$C$2:$E$5,4,FALSE)=D$2,"√","")</f>
        <v/>
      </c>
      <c r="E42" s="50">
        <f>IF(HLOOKUP($C42,'8应急处置'!$C$2:$E$5,4,FALSE)=E$2,"√","")</f>
        <v/>
      </c>
      <c r="F42" s="50">
        <f>IF(HLOOKUP($C42,'8应急处置'!$C$2:$E$5,4,FALSE)=F$2,"√","")</f>
        <v/>
      </c>
      <c r="G42" s="50">
        <f>IF(HLOOKUP($C42,'8应急处置'!$C$2:$E$5,4,FALSE)=G$2,"√","")</f>
        <v/>
      </c>
      <c r="H42" s="264">
        <f>HLOOKUP(C42,'8应急处置'!$C$2:$H$4,3,0)</f>
        <v/>
      </c>
      <c r="I42" s="265" t="n">
        <v>0.7</v>
      </c>
      <c r="J42" s="235" t="n"/>
      <c r="K42" s="235" t="n"/>
      <c r="L42" s="230" t="n"/>
      <c r="M42" s="235" t="n"/>
      <c r="N42" s="60">
        <f>IF(D42="√","符合",IF(E42="√","部分符合",IF(F42="√","不符合","不适用")))</f>
        <v/>
      </c>
      <c r="O42" s="58">
        <f>IF(H42="N/A","N/A",M$41*I42/SUMIF(H$41:H$43,"&lt;&gt;N/A",I$41:I$43))</f>
        <v/>
      </c>
      <c r="P42" s="58">
        <f>IF(H42="N/A","N/A",H42*O42)</f>
        <v/>
      </c>
      <c r="Q42" s="58">
        <f>IF(O42="N/A","N/A",O42-P42)</f>
        <v/>
      </c>
    </row>
    <row r="43" customFormat="1" s="23">
      <c r="A43" s="50" t="n">
        <v>41</v>
      </c>
      <c r="B43" s="229" t="n"/>
      <c r="C43" s="91" t="inlineStr">
        <is>
          <t>向有关主管部门上报处置情况</t>
        </is>
      </c>
      <c r="D43" s="50">
        <f>IF(HLOOKUP($C43,'8应急处置'!$C$2:$E$5,4,FALSE)=D$2,"√","")</f>
        <v/>
      </c>
      <c r="E43" s="50">
        <f>IF(HLOOKUP($C43,'8应急处置'!$C$2:$E$5,4,FALSE)=E$2,"√","")</f>
        <v/>
      </c>
      <c r="F43" s="50">
        <f>IF(HLOOKUP($C43,'8应急处置'!$C$2:$E$5,4,FALSE)=F$2,"√","")</f>
        <v/>
      </c>
      <c r="G43" s="50">
        <f>IF(HLOOKUP($C43,'8应急处置'!$C$2:$E$5,4,FALSE)=G$2,"√","")</f>
        <v/>
      </c>
      <c r="H43" s="264">
        <f>HLOOKUP(C43,'8应急处置'!$C$2:$H$4,3,0)</f>
        <v/>
      </c>
      <c r="I43" s="265" t="n">
        <v>0.7</v>
      </c>
      <c r="J43" s="229" t="n"/>
      <c r="K43" s="229" t="n"/>
      <c r="L43" s="246" t="n"/>
      <c r="M43" s="229" t="n"/>
      <c r="N43" s="60">
        <f>IF(D43="√","符合",IF(E43="√","部分符合",IF(F43="√","不符合","不适用")))</f>
        <v/>
      </c>
      <c r="O43" s="58">
        <f>IF(H43="N/A","N/A",M$41*I43/SUMIF(H$41:H$43,"&lt;&gt;N/A",I$41:I$43))</f>
        <v/>
      </c>
      <c r="P43" s="58">
        <f>IF(H43="N/A","N/A",H43*O43)</f>
        <v/>
      </c>
      <c r="Q43" s="58">
        <f>IF(O43="N/A","N/A",O43-P43)</f>
        <v/>
      </c>
    </row>
    <row r="44" customFormat="1" s="24">
      <c r="A44" s="53" t="inlineStr">
        <is>
          <t>合计</t>
        </is>
      </c>
      <c r="B44" s="240" t="n"/>
      <c r="C44" s="241" t="n"/>
      <c r="D44" s="53">
        <f>COUNTIF(D$3:D$43,"&gt;&lt;")</f>
        <v/>
      </c>
      <c r="E44" s="53">
        <f>COUNTIF(E$3:E$43,"&gt;&lt;")</f>
        <v/>
      </c>
      <c r="F44" s="53">
        <f>COUNTIF(F$3:F$43,"&gt;&lt;")</f>
        <v/>
      </c>
      <c r="G44" s="53">
        <f>COUNTIF(G$3:G$43,"&gt;&lt;")</f>
        <v/>
      </c>
      <c r="H44" s="268">
        <f>SUM(D44:G44)</f>
        <v/>
      </c>
      <c r="I44" s="269" t="n"/>
      <c r="J44" s="68" t="n"/>
      <c r="K44" s="270" t="n"/>
      <c r="L44" s="70" t="n"/>
      <c r="M44" s="270" t="n"/>
      <c r="N44" s="71" t="n"/>
      <c r="O44" s="72">
        <f>SUM(O3:O43)</f>
        <v/>
      </c>
      <c r="P44" s="72">
        <f>SUM(P3:P43)</f>
        <v/>
      </c>
      <c r="Q44" s="72">
        <f>SUM(Q3:Q43)</f>
        <v/>
      </c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3" t="n"/>
      <c r="BK44" s="23" t="n"/>
      <c r="BL44" s="23" t="n"/>
      <c r="BM44" s="23" t="n"/>
      <c r="BN44" s="23" t="n"/>
      <c r="BO44" s="23" t="n"/>
      <c r="BP44" s="23" t="n"/>
      <c r="BQ44" s="23" t="n"/>
    </row>
    <row r="45" ht="60" customHeight="1">
      <c r="A45" s="80" t="inlineStr">
        <is>
          <t>符合情况</t>
        </is>
      </c>
      <c r="B45" s="225" t="n"/>
      <c r="C45" s="226" t="n"/>
      <c r="D45" s="80" t="inlineStr">
        <is>
          <t>符合</t>
        </is>
      </c>
      <c r="E45" s="80" t="inlineStr">
        <is>
          <t>部分符合</t>
        </is>
      </c>
      <c r="F45" s="80" t="inlineStr">
        <is>
          <t>不符合</t>
        </is>
      </c>
      <c r="G45" s="80" t="inlineStr">
        <is>
          <t>不适用</t>
        </is>
      </c>
      <c r="H45" s="81" t="inlineStr">
        <is>
          <t>综合得分</t>
        </is>
      </c>
      <c r="I45" s="240" t="n"/>
      <c r="J45" s="240" t="n"/>
      <c r="K45" s="240" t="n"/>
      <c r="L45" s="240" t="n"/>
      <c r="M45" s="73" t="n"/>
    </row>
  </sheetData>
  <mergeCells count="51">
    <mergeCell ref="K31:K35"/>
    <mergeCell ref="M31:M35"/>
    <mergeCell ref="M3:M5"/>
    <mergeCell ref="K25:K30"/>
    <mergeCell ref="J17:J24"/>
    <mergeCell ref="B25:B30"/>
    <mergeCell ref="C1:C2"/>
    <mergeCell ref="B6:B10"/>
    <mergeCell ref="J3:J5"/>
    <mergeCell ref="K1:K2"/>
    <mergeCell ref="K3:K5"/>
    <mergeCell ref="M1:M2"/>
    <mergeCell ref="M36:M40"/>
    <mergeCell ref="M41:M43"/>
    <mergeCell ref="O1:O2"/>
    <mergeCell ref="Q1:Q2"/>
    <mergeCell ref="J31:J35"/>
    <mergeCell ref="P1:P2"/>
    <mergeCell ref="B11:B16"/>
    <mergeCell ref="S9:U11"/>
    <mergeCell ref="K11:K16"/>
    <mergeCell ref="M11:M16"/>
    <mergeCell ref="D1:G1"/>
    <mergeCell ref="B1:B2"/>
    <mergeCell ref="M25:M30"/>
    <mergeCell ref="B3:B5"/>
    <mergeCell ref="J11:J16"/>
    <mergeCell ref="L1:L2"/>
    <mergeCell ref="K6:K10"/>
    <mergeCell ref="B36:B40"/>
    <mergeCell ref="N1:N2"/>
    <mergeCell ref="B41:B43"/>
    <mergeCell ref="B17:B24"/>
    <mergeCell ref="L3:L43"/>
    <mergeCell ref="A44:C44"/>
    <mergeCell ref="H45:L45"/>
    <mergeCell ref="J25:J30"/>
    <mergeCell ref="I1:I2"/>
    <mergeCell ref="B31:B35"/>
    <mergeCell ref="J6:J10"/>
    <mergeCell ref="K36:K40"/>
    <mergeCell ref="K41:K43"/>
    <mergeCell ref="A45:C45"/>
    <mergeCell ref="K17:K24"/>
    <mergeCell ref="M17:M24"/>
    <mergeCell ref="H1:H2"/>
    <mergeCell ref="M6:M10"/>
    <mergeCell ref="J1:J2"/>
    <mergeCell ref="J36:J40"/>
    <mergeCell ref="J41:J43"/>
    <mergeCell ref="A1:A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55" zoomScaleNormal="55" workbookViewId="0">
      <selection activeCell="O4" sqref="O4:V14"/>
    </sheetView>
  </sheetViews>
  <sheetFormatPr baseColWidth="8" defaultColWidth="9" defaultRowHeight="14.15"/>
  <sheetData>
    <row r="1"/>
    <row r="2"/>
    <row r="3"/>
    <row r="4">
      <c r="O4" s="155" t="inlineStr">
        <is>
          <t>安全强度低于 112 比特的密码算法为弱算法</t>
        </is>
      </c>
    </row>
    <row r="5">
      <c r="O5" s="21" t="inlineStr">
        <is>
          <t>非对称算法</t>
        </is>
      </c>
      <c r="P5" s="21" t="inlineStr">
        <is>
          <t>算法强度</t>
        </is>
      </c>
      <c r="Q5" s="21" t="n"/>
      <c r="R5" s="21" t="inlineStr">
        <is>
          <t>对称算法</t>
        </is>
      </c>
      <c r="S5" s="21" t="inlineStr">
        <is>
          <t>算法强度</t>
        </is>
      </c>
      <c r="T5" s="21" t="n"/>
      <c r="U5" s="21" t="inlineStr">
        <is>
          <t>杂凑算法</t>
        </is>
      </c>
      <c r="V5" s="21" t="inlineStr">
        <is>
          <t>算法强度</t>
        </is>
      </c>
    </row>
    <row r="6">
      <c r="O6" s="22" t="inlineStr">
        <is>
          <t>RSA-1024</t>
        </is>
      </c>
      <c r="P6" s="22" t="n">
        <v>80</v>
      </c>
      <c r="Q6" s="21" t="n"/>
      <c r="R6" s="22" t="inlineStr">
        <is>
          <t>DES</t>
        </is>
      </c>
      <c r="S6" s="22" t="n">
        <v>56</v>
      </c>
      <c r="T6" s="21" t="n"/>
      <c r="U6" s="22" t="inlineStr">
        <is>
          <t>MD5</t>
        </is>
      </c>
      <c r="V6" s="22" t="inlineStr">
        <is>
          <t>/</t>
        </is>
      </c>
    </row>
    <row r="7">
      <c r="O7" s="21" t="inlineStr">
        <is>
          <t>RSA-2048</t>
        </is>
      </c>
      <c r="P7" s="21" t="n">
        <v>112</v>
      </c>
      <c r="Q7" s="21" t="n"/>
      <c r="R7" s="22" t="inlineStr">
        <is>
          <t>2TDEA</t>
        </is>
      </c>
      <c r="S7" s="22" t="inlineStr">
        <is>
          <t>80-112</t>
        </is>
      </c>
      <c r="T7" s="21" t="n"/>
      <c r="U7" s="22" t="inlineStr">
        <is>
          <t>SHA1</t>
        </is>
      </c>
      <c r="V7" s="22" t="n">
        <v>60</v>
      </c>
    </row>
    <row r="8">
      <c r="O8" s="21" t="inlineStr">
        <is>
          <t>RSA-3072</t>
        </is>
      </c>
      <c r="P8" s="21" t="n">
        <v>128</v>
      </c>
      <c r="Q8" s="21" t="n"/>
      <c r="R8" s="21" t="inlineStr">
        <is>
          <t>3TDEA</t>
        </is>
      </c>
      <c r="S8" s="21" t="inlineStr">
        <is>
          <t>112（2023年后不再推荐使用）</t>
        </is>
      </c>
      <c r="T8" s="21" t="n"/>
      <c r="U8" s="21" t="inlineStr">
        <is>
          <t>SHA224</t>
        </is>
      </c>
      <c r="V8" s="21" t="n">
        <v>112</v>
      </c>
    </row>
    <row r="9">
      <c r="O9" s="22" t="inlineStr">
        <is>
          <t>ECC-112</t>
        </is>
      </c>
      <c r="P9" s="22" t="n">
        <v>56</v>
      </c>
      <c r="Q9" s="21" t="n"/>
      <c r="R9" s="21" t="inlineStr">
        <is>
          <t>AES128</t>
        </is>
      </c>
      <c r="S9" s="21" t="n">
        <v>128</v>
      </c>
      <c r="T9" s="21" t="n"/>
      <c r="U9" s="21" t="inlineStr">
        <is>
          <t>SHA256</t>
        </is>
      </c>
      <c r="V9" s="21" t="n">
        <v>128</v>
      </c>
    </row>
    <row r="10">
      <c r="O10" s="22" t="inlineStr">
        <is>
          <t>ECC-160</t>
        </is>
      </c>
      <c r="P10" s="22" t="n">
        <v>80</v>
      </c>
      <c r="Q10" s="21" t="n"/>
      <c r="R10" s="21" t="inlineStr">
        <is>
          <t>AES192</t>
        </is>
      </c>
      <c r="S10" s="21" t="n">
        <v>192</v>
      </c>
      <c r="T10" s="21" t="n"/>
      <c r="U10" s="21" t="inlineStr">
        <is>
          <t>SHA384</t>
        </is>
      </c>
      <c r="V10" s="21" t="n">
        <v>192</v>
      </c>
    </row>
    <row r="11">
      <c r="O11" s="21" t="inlineStr">
        <is>
          <t>ECC-224</t>
        </is>
      </c>
      <c r="P11" s="21" t="n">
        <v>112</v>
      </c>
      <c r="Q11" s="21" t="n"/>
      <c r="R11" s="21" t="inlineStr">
        <is>
          <t>AES256</t>
        </is>
      </c>
      <c r="S11" s="21" t="n">
        <v>256</v>
      </c>
      <c r="T11" s="21" t="n"/>
      <c r="U11" s="21" t="inlineStr">
        <is>
          <t>SHA512</t>
        </is>
      </c>
      <c r="V11" s="21" t="n">
        <v>256</v>
      </c>
    </row>
    <row r="12">
      <c r="O12" s="21" t="inlineStr">
        <is>
          <t>ECC-256</t>
        </is>
      </c>
      <c r="P12" s="21" t="n">
        <v>128</v>
      </c>
      <c r="Q12" s="21" t="n"/>
      <c r="R12" s="21" t="inlineStr">
        <is>
          <t>SM4</t>
        </is>
      </c>
      <c r="S12" s="21" t="n">
        <v>128</v>
      </c>
      <c r="T12" s="21" t="n"/>
      <c r="U12" s="21" t="inlineStr">
        <is>
          <t>SM3</t>
        </is>
      </c>
      <c r="V12" s="21" t="n">
        <v>128</v>
      </c>
    </row>
    <row r="13">
      <c r="O13" s="21" t="inlineStr">
        <is>
          <t>SM2</t>
        </is>
      </c>
      <c r="P13" s="21" t="n">
        <v>128</v>
      </c>
      <c r="Q13" s="21" t="n"/>
      <c r="R13" s="21" t="inlineStr">
        <is>
          <t>ZUC</t>
        </is>
      </c>
      <c r="S13" s="21" t="n">
        <v>128</v>
      </c>
      <c r="T13" s="21" t="n"/>
      <c r="U13" s="21" t="n"/>
      <c r="V13" s="21" t="n"/>
    </row>
  </sheetData>
  <mergeCells count="1">
    <mergeCell ref="O4:V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D27" sqref="D27"/>
    </sheetView>
  </sheetViews>
  <sheetFormatPr baseColWidth="8" defaultColWidth="9.0703125" defaultRowHeight="14.15"/>
  <cols>
    <col width="17.5703125" customWidth="1" style="172" min="1" max="1"/>
    <col width="25" customWidth="1" style="172" min="2" max="2"/>
    <col width="10.0703125" customWidth="1" style="172" min="3" max="3"/>
    <col width="8.85546875" customWidth="1" style="172" min="4" max="4"/>
    <col width="10.35546875" customWidth="1" style="172" min="5" max="5"/>
    <col width="9.0703125" customWidth="1" style="172" min="6" max="6"/>
    <col width="8.5" customWidth="1" style="172" min="7" max="7"/>
    <col width="6.85546875" customWidth="1" style="172" min="8" max="8"/>
    <col width="7.5" customWidth="1" style="172" min="9" max="9"/>
    <col width="9.0703125" customWidth="1" style="172" min="10" max="10"/>
    <col width="11.0703125" customWidth="1" style="172" min="11" max="11"/>
    <col width="13.5" customWidth="1" style="172" min="12" max="12"/>
    <col width="11.5" customWidth="1" style="172" min="13" max="13"/>
    <col width="9.0703125" customWidth="1" style="172" min="14" max="16384"/>
  </cols>
  <sheetData>
    <row r="1">
      <c r="A1" s="187" t="inlineStr">
        <is>
          <t>物理和环境安全</t>
        </is>
      </c>
      <c r="B1" s="271" t="n"/>
      <c r="C1" s="271" t="n"/>
      <c r="D1" s="271" t="n"/>
      <c r="E1" s="271" t="n"/>
      <c r="F1" s="271" t="n"/>
      <c r="G1" s="271" t="n"/>
      <c r="H1" s="271" t="n"/>
      <c r="I1" s="271" t="n"/>
      <c r="J1" s="271" t="n"/>
      <c r="K1" s="271" t="n"/>
      <c r="L1" s="272" t="n"/>
      <c r="M1" s="187" t="n"/>
      <c r="N1" s="180" t="n"/>
      <c r="O1" s="180" t="n"/>
      <c r="P1" s="180" t="n"/>
    </row>
    <row r="2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5" t="n"/>
      <c r="M2" s="187" t="n"/>
      <c r="N2" s="180" t="n"/>
      <c r="O2" s="180" t="n"/>
      <c r="P2" s="180" t="n"/>
    </row>
    <row r="3" ht="14.15" customHeight="1">
      <c r="A3" s="173" t="inlineStr">
        <is>
          <t>测评单元</t>
        </is>
      </c>
      <c r="B3" s="173" t="inlineStr">
        <is>
          <t>测评对象</t>
        </is>
      </c>
      <c r="C3" s="173" t="inlineStr">
        <is>
          <t>适用情况</t>
        </is>
      </c>
      <c r="D3" s="173" t="inlineStr">
        <is>
          <t>涉及情况</t>
        </is>
      </c>
      <c r="E3" s="276" t="n"/>
      <c r="F3" s="276" t="n"/>
      <c r="G3" s="276" t="n"/>
      <c r="H3" s="276" t="n"/>
      <c r="I3" s="277" t="n"/>
      <c r="J3" s="174" t="inlineStr">
        <is>
          <t>符合情况</t>
        </is>
      </c>
      <c r="K3" s="174" t="inlineStr">
        <is>
          <t>测评单元得分
S i, j</t>
        </is>
      </c>
      <c r="L3" s="173" t="inlineStr">
        <is>
          <t>单元测评结果</t>
        </is>
      </c>
      <c r="M3" s="173" t="inlineStr">
        <is>
          <t>有效对象数量</t>
        </is>
      </c>
      <c r="N3" s="173" t="inlineStr">
        <is>
          <t>所占分值</t>
        </is>
      </c>
      <c r="O3" s="173" t="inlineStr">
        <is>
          <t>已得分值</t>
        </is>
      </c>
      <c r="P3" s="173" t="inlineStr">
        <is>
          <t>丢失分值</t>
        </is>
      </c>
    </row>
    <row r="4" ht="43.3" customHeight="1">
      <c r="A4" s="278" t="n"/>
      <c r="B4" s="278" t="n"/>
      <c r="C4" s="278" t="n"/>
      <c r="D4" s="175" t="inlineStr">
        <is>
          <t>密码使用有效性D</t>
        </is>
      </c>
      <c r="E4" s="175" t="inlineStr">
        <is>
          <t>密码算法/技术
合规性A</t>
        </is>
      </c>
      <c r="F4" s="175" t="inlineStr">
        <is>
          <t>密钥管理安全K</t>
        </is>
      </c>
      <c r="G4" s="175" t="inlineStr">
        <is>
          <t>Ra</t>
        </is>
      </c>
      <c r="H4" s="175" t="inlineStr">
        <is>
          <t>Rk</t>
        </is>
      </c>
      <c r="I4" s="175" t="inlineStr">
        <is>
          <t>得分</t>
        </is>
      </c>
      <c r="J4" s="278" t="n"/>
      <c r="K4" s="278" t="n"/>
      <c r="L4" s="278" t="n"/>
      <c r="M4" s="278" t="n"/>
      <c r="N4" s="278" t="n"/>
      <c r="O4" s="278" t="n"/>
      <c r="P4" s="278" t="n"/>
    </row>
    <row r="5">
      <c r="A5" s="187" t="inlineStr">
        <is>
          <t>身份鉴别</t>
        </is>
      </c>
      <c r="B5" s="188" t="inlineStr">
        <is>
          <t>建行宁夏分行租赁机房</t>
        </is>
      </c>
      <c r="C5" s="176" t="inlineStr">
        <is>
          <t>适用</t>
        </is>
      </c>
      <c r="D5" s="176" t="inlineStr">
        <is>
          <t>√</t>
        </is>
      </c>
      <c r="E5" s="176" t="inlineStr">
        <is>
          <t>√</t>
        </is>
      </c>
      <c r="F5" s="176" t="inlineStr">
        <is>
          <t>√</t>
        </is>
      </c>
      <c r="G5" s="176" t="n">
        <v>1</v>
      </c>
      <c r="H5" s="176" t="n">
        <v>1</v>
      </c>
      <c r="I5" s="177">
        <f>IF(C5="不适用","N/A",IF(D5&lt;&gt;"√",0,IF((E5="√")*AND(F5="√"),1,IF((E5&lt;&gt;"√")*AND(F5="√"),0.5*G5,IF((E5="√")*AND(F5&lt;&gt;"√"),0.5*H5,IF((E5&lt;&gt;"√")*AND(F5&lt;&gt;"√"),0.25*G5*H5))))))</f>
        <v/>
      </c>
      <c r="J5" s="177">
        <f>IF(I5="N/A","不适用",IF(I5=1,"符合",IF(I5=0,"不符合","部分符合")))</f>
        <v/>
      </c>
      <c r="K5" s="279">
        <f>IF(COUNTIF($I5:$I9,"N/A")=COUNTA($I5:$I9),"N/A",AVERAGE($I5:$I9))</f>
        <v/>
      </c>
      <c r="L5" s="179">
        <f>IF(K5="N/A","不适用",IF(K5=1,"符合",IF(K5=0,"不符合","部分符合")))</f>
        <v/>
      </c>
      <c r="M5" s="179">
        <f>(COUNTA($C5:$C9)-COUNTIF($C5:$C9,"不适用"))</f>
        <v/>
      </c>
      <c r="N5" s="180">
        <f>IF(I5="N/A","N/A",整体测评!O$3/M$5)</f>
        <v/>
      </c>
      <c r="O5" s="180">
        <f>IF(I5="N/A","N/A",I5*N5)</f>
        <v/>
      </c>
      <c r="P5" s="180">
        <f>IF(I5="N/A","N/A",N5-O5)</f>
        <v/>
      </c>
    </row>
    <row r="6">
      <c r="A6" s="280" t="n"/>
      <c r="B6" s="188" t="inlineStr">
        <is>
          <t>建行云平台-武汉数据中心机房</t>
        </is>
      </c>
      <c r="C6" s="176" t="inlineStr">
        <is>
          <t>适用</t>
        </is>
      </c>
      <c r="D6" s="176" t="inlineStr">
        <is>
          <t>√</t>
        </is>
      </c>
      <c r="E6" s="176" t="inlineStr">
        <is>
          <t>√</t>
        </is>
      </c>
      <c r="F6" s="176" t="inlineStr">
        <is>
          <t>×</t>
        </is>
      </c>
      <c r="G6" s="176" t="n">
        <v>1</v>
      </c>
      <c r="H6" s="176" t="n">
        <v>1</v>
      </c>
      <c r="I6" s="177">
        <f>IF(C6="不适用","N/A",IF(D6&lt;&gt;"√",0,IF((E6="√")*AND(F6="√"),1,IF((E6&lt;&gt;"√")*AND(F6="√"),0.5*G6,IF((E6="√")*AND(F6&lt;&gt;"√"),0.5*H6,IF((E6&lt;&gt;"√")*AND(F6&lt;&gt;"√"),0.25*G6*H6))))))</f>
        <v/>
      </c>
      <c r="J6" s="177">
        <f>IF(I6="N/A","不适用",IF(I6=1,"符合",IF(I6=0,"不符合","部分符合")))</f>
        <v/>
      </c>
      <c r="K6" s="235" t="n"/>
      <c r="L6" s="235" t="n"/>
      <c r="M6" s="235" t="n"/>
      <c r="N6" s="180">
        <f>IF(I6="N/A","N/A",整体测评!O$3/M$5)</f>
        <v/>
      </c>
      <c r="O6" s="180">
        <f>IF(I6="N/A","N/A",I6*N6)</f>
        <v/>
      </c>
      <c r="P6" s="180">
        <f>IF(I6="N/A","N/A",N6-O6)</f>
        <v/>
      </c>
    </row>
    <row r="7">
      <c r="A7" s="280" t="n"/>
      <c r="B7" s="188" t="inlineStr">
        <is>
          <t>建行云平台-洋桥数据中心机房</t>
        </is>
      </c>
      <c r="C7" s="176" t="inlineStr">
        <is>
          <t>适用</t>
        </is>
      </c>
      <c r="D7" s="176" t="inlineStr">
        <is>
          <t>√</t>
        </is>
      </c>
      <c r="E7" s="176" t="inlineStr">
        <is>
          <t>√</t>
        </is>
      </c>
      <c r="F7" s="176" t="inlineStr">
        <is>
          <t>×</t>
        </is>
      </c>
      <c r="G7" s="176" t="n">
        <v>1</v>
      </c>
      <c r="H7" s="176" t="n">
        <v>1</v>
      </c>
      <c r="I7" s="177">
        <f>IF(C7="不适用","N/A",IF(D7&lt;&gt;"√",0,IF((E7="√")*AND(F7="√"),1,IF((E7&lt;&gt;"√")*AND(F7="√"),0.5*G7,IF((E7="√")*AND(F7&lt;&gt;"√"),0.5*H7,IF((E7&lt;&gt;"√")*AND(F7&lt;&gt;"√"),0.25*G7*H7))))))</f>
        <v/>
      </c>
      <c r="J7" s="177">
        <f>IF(I7="N/A","不适用",IF(I7=1,"符合",IF(I7=0,"不符合","部分符合")))</f>
        <v/>
      </c>
      <c r="K7" s="235" t="n"/>
      <c r="L7" s="235" t="n"/>
      <c r="M7" s="235" t="n"/>
      <c r="N7" s="180">
        <f>IF(I7="N/A","N/A",整体测评!O$3/M$5)</f>
        <v/>
      </c>
      <c r="O7" s="180">
        <f>IF(I7="N/A","N/A",I7*N7)</f>
        <v/>
      </c>
      <c r="P7" s="180">
        <f>IF(I7="N/A","N/A",N7-O7)</f>
        <v/>
      </c>
    </row>
    <row r="8" ht="27.9" customHeight="1">
      <c r="A8" s="280" t="n"/>
      <c r="B8" s="188" t="inlineStr">
        <is>
          <t>建行云平台-稻香湖数据中心机房</t>
        </is>
      </c>
      <c r="C8" s="176" t="inlineStr">
        <is>
          <t>适用</t>
        </is>
      </c>
      <c r="D8" s="176" t="inlineStr">
        <is>
          <t>√</t>
        </is>
      </c>
      <c r="E8" s="176" t="inlineStr">
        <is>
          <t>√</t>
        </is>
      </c>
      <c r="F8" s="176" t="inlineStr">
        <is>
          <t>×</t>
        </is>
      </c>
      <c r="G8" s="176" t="n">
        <v>1</v>
      </c>
      <c r="H8" s="176" t="n">
        <v>1</v>
      </c>
      <c r="I8" s="177">
        <f>IF(C8="不适用","N/A",IF(D8&lt;&gt;"√",0,IF((E8="√")*AND(F8="√"),1,IF((E8&lt;&gt;"√")*AND(F8="√"),0.5*G8,IF((E8="√")*AND(F8&lt;&gt;"√"),0.5*H8,IF((E8&lt;&gt;"√")*AND(F8&lt;&gt;"√"),0.25*G8*H8))))))</f>
        <v/>
      </c>
      <c r="J8" s="177">
        <f>IF(I8="N/A","不适用",IF(I8=1,"符合",IF(I8=0,"不符合","部分符合")))</f>
        <v/>
      </c>
      <c r="K8" s="235" t="n"/>
      <c r="L8" s="235" t="n"/>
      <c r="M8" s="235" t="n"/>
      <c r="N8" s="180">
        <f>IF(I8="N/A","N/A",整体测评!O$3/M$5)</f>
        <v/>
      </c>
      <c r="O8" s="180">
        <f>IF(I8="N/A","N/A",I8*N8)</f>
        <v/>
      </c>
      <c r="P8" s="180">
        <f>IF(I8="N/A","N/A",N8-O8)</f>
        <v/>
      </c>
    </row>
    <row r="9" customFormat="1" s="185">
      <c r="A9" s="278" t="n"/>
      <c r="B9" s="181" t="inlineStr">
        <is>
          <t>勿删</t>
        </is>
      </c>
      <c r="C9" s="182" t="inlineStr">
        <is>
          <t>不适用</t>
        </is>
      </c>
      <c r="D9" s="176" t="inlineStr">
        <is>
          <t>×</t>
        </is>
      </c>
      <c r="E9" s="176" t="n"/>
      <c r="F9" s="176" t="n"/>
      <c r="G9" s="183" t="n">
        <v>1</v>
      </c>
      <c r="H9" s="183" t="n">
        <v>1</v>
      </c>
      <c r="I9" s="184">
        <f>IF(C9="不适用","N/A",IF(D9&lt;&gt;"√",0,IF((E9="√")*AND(F9="√"),1,IF((E9&lt;&gt;"√")*AND(F9="√"),0.5*G9,IF((E9="√")*AND(F9&lt;&gt;"√"),0.5*H9,IF((E9&lt;&gt;"√")*AND(F9&lt;&gt;"√"),0.25*G9*H9))))))</f>
        <v/>
      </c>
      <c r="J9" s="184">
        <f>IF(I9="N/A","不适用",IF(I9=1,"符合",IF(I9=0,"不符合","部分符合")))</f>
        <v/>
      </c>
      <c r="K9" s="229" t="n"/>
      <c r="L9" s="229" t="n"/>
      <c r="M9" s="229" t="n"/>
      <c r="N9" s="180">
        <f>IF(I9="N/A","N/A",整体测评!O$3/M$5)</f>
        <v/>
      </c>
      <c r="O9" s="180">
        <f>IF(I9="N/A","N/A",I9*N9)</f>
        <v/>
      </c>
      <c r="P9" s="180">
        <f>IF(I9="N/A","N/A",N9-O9)</f>
        <v/>
      </c>
    </row>
    <row r="10">
      <c r="A10" s="186" t="inlineStr">
        <is>
          <t>电子门禁记录数据存储完整性</t>
        </is>
      </c>
      <c r="B10" s="188" t="inlineStr">
        <is>
          <t>建行宁夏分行租赁机房</t>
        </is>
      </c>
      <c r="C10" s="183" t="inlineStr">
        <is>
          <t>适用</t>
        </is>
      </c>
      <c r="D10" s="176" t="inlineStr">
        <is>
          <t>√</t>
        </is>
      </c>
      <c r="E10" s="176" t="inlineStr">
        <is>
          <t>√</t>
        </is>
      </c>
      <c r="F10" s="176" t="inlineStr">
        <is>
          <t>√</t>
        </is>
      </c>
      <c r="G10" s="183" t="n">
        <v>1</v>
      </c>
      <c r="H10" s="183" t="n">
        <v>1</v>
      </c>
      <c r="I10" s="184">
        <f>IF(C10="不适用","N/A",IF(D10&lt;&gt;"√",0,IF((E10="√")*AND(F10="√"),1,IF((E10&lt;&gt;"√")*AND(F10="√"),0.5*G10,IF((E10="√")*AND(F10&lt;&gt;"√"),0.5*H10,IF((E10&lt;&gt;"√")*AND(F10&lt;&gt;"√"),0.25*G10*H10))))))</f>
        <v/>
      </c>
      <c r="J10" s="184">
        <f>IF(I10="N/A","不适用",IF(I10=1,"符合",IF(I10=0,"不符合","部分符合")))</f>
        <v/>
      </c>
      <c r="K10" s="279">
        <f>IF(COUNTIF($I10:$I14,"N/A")=COUNTA($I10:$I14),"N/A",AVERAGE($I10:$I14))</f>
        <v/>
      </c>
      <c r="L10" s="179">
        <f>IF(K10="N/A","不适用",IF(K10=1,"符合",IF(K10=0,"不符合","部分符合")))</f>
        <v/>
      </c>
      <c r="M10" s="179">
        <f>(COUNTA($C10:$C14)-COUNTIF($C10:$C14,"不适用"))</f>
        <v/>
      </c>
      <c r="N10" s="180">
        <f>IF(I10="N/A","N/A",整体测评!O$4/M$10)</f>
        <v/>
      </c>
      <c r="O10" s="180">
        <f>IF(I10="N/A","N/A",I10*N10)</f>
        <v/>
      </c>
      <c r="P10" s="180">
        <f>IF(I10="N/A","N/A",N10-O10)</f>
        <v/>
      </c>
    </row>
    <row r="11">
      <c r="A11" s="280" t="n"/>
      <c r="B11" s="188" t="inlineStr">
        <is>
          <t>建行云平台-武汉数据中心机房</t>
        </is>
      </c>
      <c r="C11" s="183" t="inlineStr">
        <is>
          <t>适用</t>
        </is>
      </c>
      <c r="D11" s="176" t="inlineStr">
        <is>
          <t>×</t>
        </is>
      </c>
      <c r="E11" s="176" t="inlineStr">
        <is>
          <t>×</t>
        </is>
      </c>
      <c r="F11" s="176" t="inlineStr">
        <is>
          <t>×</t>
        </is>
      </c>
      <c r="G11" s="183" t="n">
        <v>1</v>
      </c>
      <c r="H11" s="183" t="n">
        <v>1</v>
      </c>
      <c r="I11" s="184">
        <f>IF(C11="不适用","N/A",IF(D11&lt;&gt;"√",0,IF((E11="√")*AND(F11="√"),1,IF((E11&lt;&gt;"√")*AND(F11="√"),0.5*G11,IF((E11="√")*AND(F11&lt;&gt;"√"),0.5*H11,IF((E11&lt;&gt;"√")*AND(F11&lt;&gt;"√"),0.25*G11*H11))))))</f>
        <v/>
      </c>
      <c r="J11" s="184">
        <f>IF(I11="N/A","不适用",IF(I11=1,"符合",IF(I11=0,"不符合","部分符合")))</f>
        <v/>
      </c>
      <c r="K11" s="235" t="n"/>
      <c r="L11" s="235" t="n"/>
      <c r="M11" s="235" t="n"/>
      <c r="N11" s="180">
        <f>IF(I11="N/A","N/A",整体测评!O$4/M$10)</f>
        <v/>
      </c>
      <c r="O11" s="180">
        <f>IF(I11="N/A","N/A",I11*N11)</f>
        <v/>
      </c>
      <c r="P11" s="180">
        <f>IF(I11="N/A","N/A",N11-O11)</f>
        <v/>
      </c>
    </row>
    <row r="12">
      <c r="A12" s="280" t="n"/>
      <c r="B12" s="188" t="inlineStr">
        <is>
          <t>建行云平台-洋桥数据中心机房</t>
        </is>
      </c>
      <c r="C12" s="183" t="inlineStr">
        <is>
          <t>适用</t>
        </is>
      </c>
      <c r="D12" s="176" t="inlineStr">
        <is>
          <t>×</t>
        </is>
      </c>
      <c r="E12" s="176" t="inlineStr">
        <is>
          <t>×</t>
        </is>
      </c>
      <c r="F12" s="176" t="inlineStr">
        <is>
          <t>×</t>
        </is>
      </c>
      <c r="G12" s="183" t="n">
        <v>1</v>
      </c>
      <c r="H12" s="183" t="n">
        <v>1</v>
      </c>
      <c r="I12" s="184">
        <f>IF(C12="不适用","N/A",IF(D12&lt;&gt;"√",0,IF((E12="√")*AND(F12="√"),1,IF((E12&lt;&gt;"√")*AND(F12="√"),0.5*G12,IF((E12="√")*AND(F12&lt;&gt;"√"),0.5*H12,IF((E12&lt;&gt;"√")*AND(F12&lt;&gt;"√"),0.25*G12*H12))))))</f>
        <v/>
      </c>
      <c r="J12" s="184">
        <f>IF(I12="N/A","不适用",IF(I12=1,"符合",IF(I12=0,"不符合","部分符合")))</f>
        <v/>
      </c>
      <c r="K12" s="235" t="n"/>
      <c r="L12" s="235" t="n"/>
      <c r="M12" s="235" t="n"/>
      <c r="N12" s="180">
        <f>IF(I12="N/A","N/A",整体测评!O$4/M$10)</f>
        <v/>
      </c>
      <c r="O12" s="180">
        <f>IF(I12="N/A","N/A",I12*N12)</f>
        <v/>
      </c>
      <c r="P12" s="180">
        <f>IF(I12="N/A","N/A",N12-O12)</f>
        <v/>
      </c>
    </row>
    <row r="13" ht="27.9" customHeight="1">
      <c r="A13" s="280" t="n"/>
      <c r="B13" s="188" t="inlineStr">
        <is>
          <t>建行云平台-稻香湖数据中心机房</t>
        </is>
      </c>
      <c r="C13" s="183" t="inlineStr">
        <is>
          <t>适用</t>
        </is>
      </c>
      <c r="D13" s="176" t="inlineStr">
        <is>
          <t>×</t>
        </is>
      </c>
      <c r="E13" s="176" t="inlineStr">
        <is>
          <t>×</t>
        </is>
      </c>
      <c r="F13" s="176" t="inlineStr">
        <is>
          <t>×</t>
        </is>
      </c>
      <c r="G13" s="183" t="n">
        <v>1</v>
      </c>
      <c r="H13" s="183" t="n">
        <v>1</v>
      </c>
      <c r="I13" s="184">
        <f>IF(C13="不适用","N/A",IF(D13&lt;&gt;"√",0,IF((E13="√")*AND(F13="√"),1,IF((E13&lt;&gt;"√")*AND(F13="√"),0.5*G13,IF((E13="√")*AND(F13&lt;&gt;"√"),0.5*H13,IF((E13&lt;&gt;"√")*AND(F13&lt;&gt;"√"),0.25*G13*H13))))))</f>
        <v/>
      </c>
      <c r="J13" s="184">
        <f>IF(I13="N/A","不适用",IF(I13=1,"符合",IF(I13=0,"不符合","部分符合")))</f>
        <v/>
      </c>
      <c r="K13" s="235" t="n"/>
      <c r="L13" s="235" t="n"/>
      <c r="M13" s="235" t="n"/>
      <c r="N13" s="180">
        <f>IF(I13="N/A","N/A",整体测评!O$4/M$10)</f>
        <v/>
      </c>
      <c r="O13" s="180">
        <f>IF(I13="N/A","N/A",I13*N13)</f>
        <v/>
      </c>
      <c r="P13" s="180">
        <f>IF(I13="N/A","N/A",N13-O13)</f>
        <v/>
      </c>
    </row>
    <row r="14">
      <c r="A14" s="278" t="n"/>
      <c r="B14" s="181" t="inlineStr">
        <is>
          <t>勿删</t>
        </is>
      </c>
      <c r="C14" s="182" t="inlineStr">
        <is>
          <t>不适用</t>
        </is>
      </c>
      <c r="D14" s="176" t="inlineStr">
        <is>
          <t>×</t>
        </is>
      </c>
      <c r="E14" s="176" t="n"/>
      <c r="F14" s="176" t="n"/>
      <c r="G14" s="183" t="n">
        <v>1</v>
      </c>
      <c r="H14" s="183" t="n">
        <v>1</v>
      </c>
      <c r="I14" s="184">
        <f>IF(C14="不适用","N/A",IF(D14&lt;&gt;"√",0,IF((E14="√")*AND(F14="√"),1,IF((E14&lt;&gt;"√")*AND(F14="√"),0.5*G14,IF((E14="√")*AND(F14&lt;&gt;"√"),0.5*H14,IF((E14&lt;&gt;"√")*AND(F14&lt;&gt;"√"),0.25*G14*H14))))))</f>
        <v/>
      </c>
      <c r="J14" s="184">
        <f>IF(I14="N/A","不适用",IF(I14=1,"符合",IF(I14=0,"不符合","部分符合")))</f>
        <v/>
      </c>
      <c r="K14" s="229" t="n"/>
      <c r="L14" s="229" t="n"/>
      <c r="M14" s="229" t="n"/>
      <c r="N14" s="180">
        <f>IF(I14="N/A","N/A",整体测评!O$4/M$10)</f>
        <v/>
      </c>
      <c r="O14" s="180">
        <f>IF(I14="N/A","N/A",I14*N14)</f>
        <v/>
      </c>
      <c r="P14" s="180">
        <f>IF(I14="N/A","N/A",N14-O14)</f>
        <v/>
      </c>
    </row>
    <row r="15">
      <c r="A15" s="186" t="inlineStr">
        <is>
          <t>视频监控记录数据存储完整性</t>
        </is>
      </c>
      <c r="B15" s="188" t="inlineStr">
        <is>
          <t>建行宁夏分行租赁机房</t>
        </is>
      </c>
      <c r="C15" s="183" t="inlineStr">
        <is>
          <t>适用</t>
        </is>
      </c>
      <c r="D15" s="176" t="inlineStr">
        <is>
          <t>√</t>
        </is>
      </c>
      <c r="E15" s="176" t="inlineStr">
        <is>
          <t>√</t>
        </is>
      </c>
      <c r="F15" s="176" t="inlineStr">
        <is>
          <t>√</t>
        </is>
      </c>
      <c r="G15" s="183" t="n">
        <v>1</v>
      </c>
      <c r="H15" s="183" t="n">
        <v>1</v>
      </c>
      <c r="I15" s="184">
        <f>IF(C15="不适用","N/A",IF(D15&lt;&gt;"√",0,IF((E15="√")*AND(F15="√"),1,IF((E15&lt;&gt;"√")*AND(F15="√"),0.5*G15,IF((E15="√")*AND(F15&lt;&gt;"√"),0.5*H15,IF((E15&lt;&gt;"√")*AND(F15&lt;&gt;"√"),0.25*G15*H15))))))</f>
        <v/>
      </c>
      <c r="J15" s="184">
        <f>IF(I15="N/A","不适用",IF(I15=1,"符合",IF(I15=0,"不符合","部分符合")))</f>
        <v/>
      </c>
      <c r="K15" s="279">
        <f>IF(COUNTIF($I15:$I19,"N/A")=COUNTA($I15:$I19),"N/A",AVERAGE($I15:$I19))</f>
        <v/>
      </c>
      <c r="L15" s="179">
        <f>IF(K15="N/A","不适用",IF(K15=1,"符合",IF(K15=0,"不符合","部分符合")))</f>
        <v/>
      </c>
      <c r="M15" s="179">
        <f>(COUNTA($C15:$C19)-COUNTIF($C15:$C19,"不适用"))</f>
        <v/>
      </c>
      <c r="N15" s="180">
        <f>IF(I15="N/A","N/A",整体测评!O$5/M$15)</f>
        <v/>
      </c>
      <c r="O15" s="180">
        <f>IF(I15="N/A","N/A",I15*N15)</f>
        <v/>
      </c>
      <c r="P15" s="180">
        <f>IF(I15="N/A","N/A",N15-O15)</f>
        <v/>
      </c>
    </row>
    <row r="16">
      <c r="A16" s="280" t="n"/>
      <c r="B16" s="188" t="inlineStr">
        <is>
          <t>建行云平台-武汉数据中心机房</t>
        </is>
      </c>
      <c r="C16" s="183" t="inlineStr">
        <is>
          <t>适用</t>
        </is>
      </c>
      <c r="D16" s="176" t="inlineStr">
        <is>
          <t>×</t>
        </is>
      </c>
      <c r="E16" s="176" t="inlineStr">
        <is>
          <t>×</t>
        </is>
      </c>
      <c r="F16" s="176" t="inlineStr">
        <is>
          <t>×</t>
        </is>
      </c>
      <c r="G16" s="183" t="n">
        <v>1</v>
      </c>
      <c r="H16" s="183" t="n">
        <v>1</v>
      </c>
      <c r="I16" s="184">
        <f>IF(C16="不适用","N/A",IF(D16&lt;&gt;"√",0,IF((E16="√")*AND(F16="√"),1,IF((E16&lt;&gt;"√")*AND(F16="√"),0.5*G16,IF((E16="√")*AND(F16&lt;&gt;"√"),0.5*H16,IF((E16&lt;&gt;"√")*AND(F16&lt;&gt;"√"),0.25*G16*H16))))))</f>
        <v/>
      </c>
      <c r="J16" s="184">
        <f>IF(I16="N/A","不适用",IF(I16=1,"符合",IF(I16=0,"不符合","部分符合")))</f>
        <v/>
      </c>
      <c r="K16" s="235" t="n"/>
      <c r="L16" s="235" t="n"/>
      <c r="M16" s="235" t="n"/>
      <c r="N16" s="180">
        <f>IF(I16="N/A","N/A",整体测评!O$5/M$15)</f>
        <v/>
      </c>
      <c r="O16" s="180">
        <f>IF(I16="N/A","N/A",I16*N16)</f>
        <v/>
      </c>
      <c r="P16" s="180">
        <f>IF(I16="N/A","N/A",N16-O16)</f>
        <v/>
      </c>
    </row>
    <row r="17">
      <c r="A17" s="280" t="n"/>
      <c r="B17" s="188" t="inlineStr">
        <is>
          <t>建行云平台-洋桥数据中心机房</t>
        </is>
      </c>
      <c r="C17" s="183" t="inlineStr">
        <is>
          <t>适用</t>
        </is>
      </c>
      <c r="D17" s="176" t="inlineStr">
        <is>
          <t>×</t>
        </is>
      </c>
      <c r="E17" s="176" t="inlineStr">
        <is>
          <t>×</t>
        </is>
      </c>
      <c r="F17" s="176" t="inlineStr">
        <is>
          <t>×</t>
        </is>
      </c>
      <c r="G17" s="183" t="n">
        <v>1</v>
      </c>
      <c r="H17" s="183" t="n">
        <v>1</v>
      </c>
      <c r="I17" s="184">
        <f>IF(C17="不适用","N/A",IF(D17&lt;&gt;"√",0,IF((E17="√")*AND(F17="√"),1,IF((E17&lt;&gt;"√")*AND(F17="√"),0.5*G17,IF((E17="√")*AND(F17&lt;&gt;"√"),0.5*H17,IF((E17&lt;&gt;"√")*AND(F17&lt;&gt;"√"),0.25*G17*H17))))))</f>
        <v/>
      </c>
      <c r="J17" s="184">
        <f>IF(I17="N/A","不适用",IF(I17=1,"符合",IF(I17=0,"不符合","部分符合")))</f>
        <v/>
      </c>
      <c r="K17" s="235" t="n"/>
      <c r="L17" s="235" t="n"/>
      <c r="M17" s="235" t="n"/>
      <c r="N17" s="180">
        <f>IF(I17="N/A","N/A",整体测评!O$5/M$15)</f>
        <v/>
      </c>
      <c r="O17" s="180">
        <f>IF(I17="N/A","N/A",I17*N17)</f>
        <v/>
      </c>
      <c r="P17" s="180">
        <f>IF(I17="N/A","N/A",N17-O17)</f>
        <v/>
      </c>
    </row>
    <row r="18" ht="27.9" customHeight="1">
      <c r="A18" s="280" t="n"/>
      <c r="B18" s="188" t="inlineStr">
        <is>
          <t>建行云平台-稻香湖数据中心机房</t>
        </is>
      </c>
      <c r="C18" s="183" t="inlineStr">
        <is>
          <t>适用</t>
        </is>
      </c>
      <c r="D18" s="176" t="inlineStr">
        <is>
          <t>×</t>
        </is>
      </c>
      <c r="E18" s="176" t="inlineStr">
        <is>
          <t>×</t>
        </is>
      </c>
      <c r="F18" s="176" t="inlineStr">
        <is>
          <t>×</t>
        </is>
      </c>
      <c r="G18" s="183" t="n">
        <v>1</v>
      </c>
      <c r="H18" s="183" t="n">
        <v>1</v>
      </c>
      <c r="I18" s="184">
        <f>IF(C18="不适用","N/A",IF(D18&lt;&gt;"√",0,IF((E18="√")*AND(F18="√"),1,IF((E18&lt;&gt;"√")*AND(F18="√"),0.5*G18,IF((E18="√")*AND(F18&lt;&gt;"√"),0.5*H18,IF((E18&lt;&gt;"√")*AND(F18&lt;&gt;"√"),0.25*G18*H18))))))</f>
        <v/>
      </c>
      <c r="J18" s="184">
        <f>IF(I18="N/A","不适用",IF(I18=1,"符合",IF(I18=0,"不符合","部分符合")))</f>
        <v/>
      </c>
      <c r="K18" s="235" t="n"/>
      <c r="L18" s="235" t="n"/>
      <c r="M18" s="235" t="n"/>
      <c r="N18" s="180">
        <f>IF(I18="N/A","N/A",整体测评!O$5/M$15)</f>
        <v/>
      </c>
      <c r="O18" s="180">
        <f>IF(I18="N/A","N/A",I18*N18)</f>
        <v/>
      </c>
      <c r="P18" s="180">
        <f>IF(I18="N/A","N/A",N18-O18)</f>
        <v/>
      </c>
    </row>
    <row r="19">
      <c r="A19" s="278" t="n"/>
      <c r="B19" s="181" t="inlineStr">
        <is>
          <t>勿删</t>
        </is>
      </c>
      <c r="C19" s="182" t="inlineStr">
        <is>
          <t>不适用</t>
        </is>
      </c>
      <c r="D19" s="176" t="inlineStr">
        <is>
          <t>×</t>
        </is>
      </c>
      <c r="E19" s="176" t="n"/>
      <c r="F19" s="176" t="n"/>
      <c r="G19" s="183" t="n">
        <v>1</v>
      </c>
      <c r="H19" s="183" t="n">
        <v>1</v>
      </c>
      <c r="I19" s="184">
        <f>IF(C19="不适用","N/A",IF(D19&lt;&gt;"√",0,IF((E19="√")*AND(F19="√"),1,IF((E19&lt;&gt;"√")*AND(F19="√"),0.5*G19,IF((E19="√")*AND(F19&lt;&gt;"√"),0.5*H19,IF((E19&lt;&gt;"√")*AND(F19&lt;&gt;"√"),0.25*G19*H19))))))</f>
        <v/>
      </c>
      <c r="J19" s="184">
        <f>IF(I19="N/A","不适用",IF(I19=1,"符合",IF(I19=0,"不符合","部分符合")))</f>
        <v/>
      </c>
      <c r="K19" s="229" t="n"/>
      <c r="L19" s="229" t="n"/>
      <c r="M19" s="229" t="n"/>
      <c r="N19" s="180">
        <f>IF(I19="N/A","N/A",整体测评!O$5/M$15)</f>
        <v/>
      </c>
      <c r="O19" s="180">
        <f>IF(I19="N/A","N/A",I19*N19)</f>
        <v/>
      </c>
      <c r="P19" s="180">
        <f>IF(I19="N/A","N/A",N19-O19)</f>
        <v/>
      </c>
    </row>
    <row r="20"/>
    <row r="21"/>
    <row r="22">
      <c r="F22" s="172" t="inlineStr">
        <is>
          <t xml:space="preserve"> </t>
        </is>
      </c>
    </row>
  </sheetData>
  <mergeCells count="24">
    <mergeCell ref="A5:A9"/>
    <mergeCell ref="L3:L4"/>
    <mergeCell ref="B3:B4"/>
    <mergeCell ref="N3:N4"/>
    <mergeCell ref="L10:L14"/>
    <mergeCell ref="K10:K14"/>
    <mergeCell ref="A3:A4"/>
    <mergeCell ref="M3:M4"/>
    <mergeCell ref="A1:L2"/>
    <mergeCell ref="A10:A14"/>
    <mergeCell ref="D3:I3"/>
    <mergeCell ref="K15:K19"/>
    <mergeCell ref="K5:K9"/>
    <mergeCell ref="M5:M9"/>
    <mergeCell ref="A15:A19"/>
    <mergeCell ref="P3:P4"/>
    <mergeCell ref="J3:J4"/>
    <mergeCell ref="M10:M14"/>
    <mergeCell ref="L15:L19"/>
    <mergeCell ref="L5:L9"/>
    <mergeCell ref="K3:K4"/>
    <mergeCell ref="C3:C4"/>
    <mergeCell ref="O3:O4"/>
    <mergeCell ref="M15:M19"/>
  </mergeCells>
  <dataValidations count="4">
    <dataValidation sqref="H5:H19" showDropDown="0" showInputMessage="1" showErrorMessage="1" allowBlank="1" type="list">
      <formula1>"1.2,1"</formula1>
    </dataValidation>
    <dataValidation sqref="C5:C19" showDropDown="0" showInputMessage="1" showErrorMessage="1" allowBlank="1" type="list">
      <formula1>"适用,不适用"</formula1>
    </dataValidation>
    <dataValidation sqref="G5:G19" showDropDown="0" showInputMessage="1" showErrorMessage="1" allowBlank="1" type="list">
      <formula1>"0.2,0.5,1"</formula1>
    </dataValidation>
    <dataValidation sqref="D5:F19" showDropDown="0" showInputMessage="1" showErrorMessage="1" allowBlank="1" type="list">
      <formula1>"√,×,/"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0"/>
  <sheetViews>
    <sheetView topLeftCell="A19" zoomScale="90" zoomScaleNormal="90" workbookViewId="0">
      <selection activeCell="B52" sqref="B52"/>
    </sheetView>
  </sheetViews>
  <sheetFormatPr baseColWidth="8" defaultColWidth="9.0703125" defaultRowHeight="14.15"/>
  <cols>
    <col width="21.0703125" customWidth="1" style="13" min="1" max="1"/>
    <col width="41.0703125" customWidth="1" style="13" min="2" max="2"/>
    <col width="9.0703125" customWidth="1" style="13" min="3" max="3"/>
    <col width="16.7109375" customWidth="1" style="13" min="4" max="5"/>
    <col width="16.5" customWidth="1" style="13" min="6" max="6"/>
    <col width="10" customWidth="1" style="13" min="7" max="7"/>
    <col width="11.85546875" customWidth="1" style="13" min="8" max="8"/>
    <col width="9.0703125" customWidth="1" style="13" min="9" max="9"/>
    <col width="9.0703125" customWidth="1" style="157" min="10" max="10"/>
    <col width="9.0703125" customWidth="1" style="13" min="11" max="16384"/>
  </cols>
  <sheetData>
    <row r="1" ht="14.25" customHeight="1">
      <c r="A1" s="196" t="inlineStr">
        <is>
          <t>网络和通信安全</t>
        </is>
      </c>
      <c r="B1" s="271" t="n"/>
      <c r="C1" s="271" t="n"/>
      <c r="D1" s="271" t="n"/>
      <c r="E1" s="271" t="n"/>
      <c r="F1" s="271" t="n"/>
      <c r="G1" s="271" t="n"/>
      <c r="H1" s="271" t="n"/>
      <c r="I1" s="271" t="n"/>
      <c r="J1" s="271" t="n"/>
      <c r="K1" s="271" t="n"/>
      <c r="L1" s="272" t="n"/>
      <c r="M1" s="197" t="n"/>
      <c r="N1" s="197" t="n"/>
      <c r="O1" s="197" t="n"/>
      <c r="P1" s="197" t="n"/>
    </row>
    <row r="2" ht="14.6" customHeigh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5" t="n"/>
      <c r="M2" s="197" t="n"/>
      <c r="N2" s="197" t="n"/>
      <c r="O2" s="197" t="n"/>
      <c r="P2" s="197" t="n"/>
    </row>
    <row r="3" ht="14.7" customHeight="1">
      <c r="A3" s="174" t="inlineStr">
        <is>
          <t>测评单元</t>
        </is>
      </c>
      <c r="B3" s="174" t="inlineStr">
        <is>
          <t>测评对象</t>
        </is>
      </c>
      <c r="C3" s="174" t="inlineStr">
        <is>
          <t>适用情况</t>
        </is>
      </c>
      <c r="D3" s="174" t="inlineStr">
        <is>
          <t>涉及情况</t>
        </is>
      </c>
      <c r="E3" s="276" t="n"/>
      <c r="F3" s="276" t="n"/>
      <c r="G3" s="276" t="n"/>
      <c r="H3" s="277" t="n"/>
      <c r="I3" s="174" t="inlineStr">
        <is>
          <t>分值
Si,j,k</t>
        </is>
      </c>
      <c r="J3" s="174" t="inlineStr">
        <is>
          <t>符合情况</t>
        </is>
      </c>
      <c r="K3" s="174" t="inlineStr">
        <is>
          <t>测评单元得分
S i, j</t>
        </is>
      </c>
      <c r="L3" s="174" t="inlineStr">
        <is>
          <t>单元测评结果</t>
        </is>
      </c>
      <c r="M3" s="174" t="inlineStr">
        <is>
          <t>有效对象数量</t>
        </is>
      </c>
      <c r="N3" s="174" t="inlineStr">
        <is>
          <t>所占分值</t>
        </is>
      </c>
      <c r="O3" s="174" t="inlineStr">
        <is>
          <t>已得分值</t>
        </is>
      </c>
      <c r="P3" s="174" t="inlineStr">
        <is>
          <t>丢失分值</t>
        </is>
      </c>
    </row>
    <row r="4" ht="29.15" customHeight="1">
      <c r="A4" s="278" t="n"/>
      <c r="B4" s="278" t="n"/>
      <c r="C4" s="278" t="n"/>
      <c r="D4" s="175" t="inlineStr">
        <is>
          <t>密码使用有效性D</t>
        </is>
      </c>
      <c r="E4" s="175" t="inlineStr">
        <is>
          <t>密码算法/技术
合规性A</t>
        </is>
      </c>
      <c r="F4" s="175" t="inlineStr">
        <is>
          <t>密钥管理安全K</t>
        </is>
      </c>
      <c r="G4" s="175" t="inlineStr">
        <is>
          <t>Ra</t>
        </is>
      </c>
      <c r="H4" s="175" t="inlineStr">
        <is>
          <t>Rk</t>
        </is>
      </c>
      <c r="I4" s="278" t="n"/>
      <c r="J4" s="278" t="n"/>
      <c r="K4" s="278" t="n"/>
      <c r="L4" s="278" t="n"/>
      <c r="M4" s="278" t="n"/>
      <c r="N4" s="278" t="n"/>
      <c r="O4" s="278" t="n"/>
      <c r="P4" s="278" t="n"/>
      <c r="R4" s="157" t="n"/>
      <c r="S4" s="15" t="n"/>
      <c r="T4" s="15" t="n"/>
      <c r="U4" s="15" t="n"/>
    </row>
    <row r="5" ht="14.6" customHeight="1">
      <c r="A5" s="196" t="inlineStr">
        <is>
          <t>身份鉴别</t>
        </is>
      </c>
      <c r="B5" s="195" t="inlineStr">
        <is>
          <t>智慧缴费系统小程序通道</t>
        </is>
      </c>
      <c r="C5" s="176" t="inlineStr">
        <is>
          <t>适用</t>
        </is>
      </c>
      <c r="D5" s="183" t="inlineStr">
        <is>
          <t>√</t>
        </is>
      </c>
      <c r="E5" s="183" t="inlineStr">
        <is>
          <t>×</t>
        </is>
      </c>
      <c r="F5" s="183" t="inlineStr">
        <is>
          <t>×</t>
        </is>
      </c>
      <c r="G5" s="176" t="n">
        <v>1</v>
      </c>
      <c r="H5" s="176" t="n">
        <v>1</v>
      </c>
      <c r="I5" s="198">
        <f>IF(C5="不适用","N/A",IF(D5&lt;&gt;"√",0,IF((E5="√")*AND(F5="√"),1,IF((E5&lt;&gt;"√")*AND(F5="√"),0.5*G5,IF((E5="√")*AND(F5&lt;&gt;"√"),0.5*H5,IF((E5&lt;&gt;"√")*AND(F5&lt;&gt;"√"),0.25*G5*H5))))))</f>
        <v/>
      </c>
      <c r="J5" s="198">
        <f>IF(I5="N/A","不适用",IF(I5=1,"符合",IF(I5=0,"不符合","部分符合")))</f>
        <v/>
      </c>
      <c r="K5" s="281">
        <f>IF(COUNTIF($I5:$I38,"N/A")=COUNTA($I5:$I38),"N/A",AVERAGE($I5:$I38))</f>
        <v/>
      </c>
      <c r="L5" s="200">
        <f>IF(K5="N/A","不适用",IF(K5=1,"符合",IF(K5=0,"不符合","部分符合")))</f>
        <v/>
      </c>
      <c r="M5" s="205">
        <f>(COUNTA($C5:$C38)-COUNTIF($C5:$C38,"不适用"))</f>
        <v/>
      </c>
      <c r="N5" s="197">
        <f>IF(I5="N/A","N/A",整体测评!O$6/M$5)</f>
        <v/>
      </c>
      <c r="O5" s="202">
        <f>IF(I5="N/A","N/A",I5*N5)</f>
        <v/>
      </c>
      <c r="P5" s="202">
        <f>IF(I5="N/A","N/A",N5-O5)</f>
        <v/>
      </c>
      <c r="Q5" s="158" t="inlineStr">
        <is>
          <t>注：N/A为不适用</t>
        </is>
      </c>
      <c r="R5" s="15" t="n"/>
      <c r="S5" s="15" t="n"/>
      <c r="T5" s="15" t="n"/>
      <c r="U5" s="19" t="n"/>
    </row>
    <row r="6" ht="14.6" customHeight="1">
      <c r="A6" s="280" t="n"/>
      <c r="B6" s="188" t="inlineStr">
        <is>
          <t>智慧缴费系统与吴忠供热之间的通道</t>
        </is>
      </c>
      <c r="C6" s="176" t="inlineStr">
        <is>
          <t>适用</t>
        </is>
      </c>
      <c r="D6" s="183" t="inlineStr">
        <is>
          <t>×</t>
        </is>
      </c>
      <c r="E6" s="183" t="inlineStr">
        <is>
          <t>/</t>
        </is>
      </c>
      <c r="F6" s="183" t="inlineStr">
        <is>
          <t>/</t>
        </is>
      </c>
      <c r="G6" s="176" t="n">
        <v>1</v>
      </c>
      <c r="H6" s="176" t="n">
        <v>1</v>
      </c>
      <c r="I6" s="198">
        <f>IF(C6="不适用","N/A",IF(D6&lt;&gt;"√",0,IF((E6="√")*AND(F6="√"),1,IF((E6&lt;&gt;"√")*AND(F6="√"),0.5*G6,IF((E6="√")*AND(F6&lt;&gt;"√"),0.5*H6,IF((E6&lt;&gt;"√")*AND(F6&lt;&gt;"√"),0.25*G6*H6))))))</f>
        <v/>
      </c>
      <c r="J6" s="198">
        <f>IF(I6="N/A","不适用",IF(I6=1,"符合",IF(I6=0,"不符合","部分符合")))</f>
        <v/>
      </c>
      <c r="K6" s="235" t="n"/>
      <c r="L6" s="235" t="n"/>
      <c r="M6" s="235" t="n"/>
      <c r="N6" s="197">
        <f>IF(I6="N/A","N/A",整体测评!O$6/M$5)</f>
        <v/>
      </c>
      <c r="O6" s="202">
        <f>IF(I6="N/A","N/A",I6*N6)</f>
        <v/>
      </c>
      <c r="P6" s="202">
        <f>IF(I6="N/A","N/A",N6-O6)</f>
        <v/>
      </c>
      <c r="Q6" s="15" t="n"/>
      <c r="R6" s="15" t="n"/>
      <c r="S6" s="15" t="n"/>
      <c r="T6" s="15" t="n"/>
      <c r="U6" s="19" t="n"/>
    </row>
    <row r="7" ht="14.6" customHeight="1">
      <c r="A7" s="280" t="n"/>
      <c r="B7" s="188" t="inlineStr">
        <is>
          <t>智慧缴费系统与吴忠水发之间的通道</t>
        </is>
      </c>
      <c r="C7" s="176" t="inlineStr">
        <is>
          <t>适用</t>
        </is>
      </c>
      <c r="D7" s="183" t="inlineStr">
        <is>
          <t>×</t>
        </is>
      </c>
      <c r="E7" s="183" t="inlineStr">
        <is>
          <t>/</t>
        </is>
      </c>
      <c r="F7" s="183" t="inlineStr">
        <is>
          <t>/</t>
        </is>
      </c>
      <c r="G7" s="176" t="n">
        <v>1</v>
      </c>
      <c r="H7" s="176" t="n">
        <v>1</v>
      </c>
      <c r="I7" s="198">
        <f>IF(C7="不适用","N/A",IF(D7&lt;&gt;"√",0,IF((E7="√")*AND(F7="√"),1,IF((E7&lt;&gt;"√")*AND(F7="√"),0.5*G7,IF((E7="√")*AND(F7&lt;&gt;"√"),0.5*H7,IF((E7&lt;&gt;"√")*AND(F7&lt;&gt;"√"),0.25*G7*H7))))))</f>
        <v/>
      </c>
      <c r="J7" s="198">
        <f>IF(I7="N/A","不适用",IF(I7=1,"符合",IF(I7=0,"不符合","部分符合")))</f>
        <v/>
      </c>
      <c r="K7" s="235" t="n"/>
      <c r="L7" s="235" t="n"/>
      <c r="M7" s="235" t="n"/>
      <c r="N7" s="197">
        <f>IF(I7="N/A","N/A",整体测评!O$6/M$5)</f>
        <v/>
      </c>
      <c r="O7" s="202">
        <f>IF(I7="N/A","N/A",I7*N7)</f>
        <v/>
      </c>
      <c r="P7" s="202">
        <f>IF(I7="N/A","N/A",N7-O7)</f>
        <v/>
      </c>
      <c r="Q7" s="15" t="n"/>
      <c r="R7" s="15" t="n"/>
      <c r="S7" s="15" t="n"/>
      <c r="T7" s="15" t="n"/>
      <c r="U7" s="19" t="n"/>
    </row>
    <row r="8" ht="14.6" customHeight="1">
      <c r="A8" s="280" t="n"/>
      <c r="B8" s="188" t="inlineStr">
        <is>
          <t>智慧缴费系统与高速缴费之间的通道</t>
        </is>
      </c>
      <c r="C8" s="176" t="inlineStr">
        <is>
          <t>适用</t>
        </is>
      </c>
      <c r="D8" s="183" t="inlineStr">
        <is>
          <t>×</t>
        </is>
      </c>
      <c r="E8" s="183" t="inlineStr">
        <is>
          <t>/</t>
        </is>
      </c>
      <c r="F8" s="183" t="inlineStr">
        <is>
          <t>/</t>
        </is>
      </c>
      <c r="G8" s="176" t="n">
        <v>1</v>
      </c>
      <c r="H8" s="176" t="n">
        <v>1</v>
      </c>
      <c r="I8" s="198">
        <f>IF(C8="不适用","N/A",IF(D8&lt;&gt;"√",0,IF((E8="√")*AND(F8="√"),1,IF((E8&lt;&gt;"√")*AND(F8="√"),0.5*G8,IF((E8="√")*AND(F8&lt;&gt;"√"),0.5*H8,IF((E8&lt;&gt;"√")*AND(F8&lt;&gt;"√"),0.25*G8*H8))))))</f>
        <v/>
      </c>
      <c r="J8" s="198">
        <f>IF(I8="N/A","不适用",IF(I8=1,"符合",IF(I8=0,"不符合","部分符合")))</f>
        <v/>
      </c>
      <c r="K8" s="235" t="n"/>
      <c r="L8" s="235" t="n"/>
      <c r="M8" s="235" t="n"/>
      <c r="N8" s="197">
        <f>IF(I8="N/A","N/A",整体测评!O$6/M$5)</f>
        <v/>
      </c>
      <c r="O8" s="202">
        <f>IF(I8="N/A","N/A",I8*N8)</f>
        <v/>
      </c>
      <c r="P8" s="202">
        <f>IF(I8="N/A","N/A",N8-O8)</f>
        <v/>
      </c>
      <c r="Q8" s="15" t="n"/>
      <c r="R8" s="15" t="n"/>
      <c r="S8" s="15" t="n"/>
      <c r="T8" s="15" t="n"/>
      <c r="U8" s="19" t="n"/>
    </row>
    <row r="9" ht="14.6" customHeight="1">
      <c r="A9" s="280" t="n"/>
      <c r="B9" s="188" t="inlineStr">
        <is>
          <t>智慧缴费系统与新南燃气之间的通道</t>
        </is>
      </c>
      <c r="C9" s="176" t="inlineStr">
        <is>
          <t>适用</t>
        </is>
      </c>
      <c r="D9" s="183" t="inlineStr">
        <is>
          <t>×</t>
        </is>
      </c>
      <c r="E9" s="183" t="inlineStr">
        <is>
          <t>/</t>
        </is>
      </c>
      <c r="F9" s="183" t="inlineStr">
        <is>
          <t>/</t>
        </is>
      </c>
      <c r="G9" s="176" t="n">
        <v>1</v>
      </c>
      <c r="H9" s="176" t="n">
        <v>1</v>
      </c>
      <c r="I9" s="198">
        <f>IF(C9="不适用","N/A",IF(D9&lt;&gt;"√",0,IF((E9="√")*AND(F9="√"),1,IF((E9&lt;&gt;"√")*AND(F9="√"),0.5*G9,IF((E9="√")*AND(F9&lt;&gt;"√"),0.5*H9,IF((E9&lt;&gt;"√")*AND(F9&lt;&gt;"√"),0.25*G9*H9))))))</f>
        <v/>
      </c>
      <c r="J9" s="198">
        <f>IF(I9="N/A","不适用",IF(I9=1,"符合",IF(I9=0,"不符合","部分符合")))</f>
        <v/>
      </c>
      <c r="K9" s="235" t="n"/>
      <c r="L9" s="235" t="n"/>
      <c r="M9" s="235" t="n"/>
      <c r="N9" s="197">
        <f>IF(I9="N/A","N/A",整体测评!O$6/M$5)</f>
        <v/>
      </c>
      <c r="O9" s="202">
        <f>IF(I9="N/A","N/A",I9*N9)</f>
        <v/>
      </c>
      <c r="P9" s="202">
        <f>IF(I9="N/A","N/A",N9-O9)</f>
        <v/>
      </c>
      <c r="Q9" s="15" t="n"/>
      <c r="R9" s="15" t="n"/>
      <c r="S9" s="15" t="n"/>
      <c r="T9" s="15" t="n"/>
      <c r="U9" s="19" t="n"/>
    </row>
    <row r="10" ht="14.6" customHeight="1">
      <c r="A10" s="280" t="n"/>
      <c r="B10" s="188" t="inlineStr">
        <is>
          <t>PC端访问现金管理系统的通道</t>
        </is>
      </c>
      <c r="C10" s="176" t="inlineStr">
        <is>
          <t>适用</t>
        </is>
      </c>
      <c r="D10" s="183" t="inlineStr">
        <is>
          <t>×</t>
        </is>
      </c>
      <c r="E10" s="183" t="inlineStr">
        <is>
          <t>/</t>
        </is>
      </c>
      <c r="F10" s="183" t="inlineStr">
        <is>
          <t>/</t>
        </is>
      </c>
      <c r="G10" s="176" t="n">
        <v>1</v>
      </c>
      <c r="H10" s="176" t="n">
        <v>1</v>
      </c>
      <c r="I10" s="198">
        <f>IF(C10="不适用","N/A",IF(D10&lt;&gt;"√",0,IF((E10="√")*AND(F10="√"),1,IF((E10&lt;&gt;"√")*AND(F10="√"),0.5*G10,IF((E10="√")*AND(F10&lt;&gt;"√"),0.5*H10,IF((E10&lt;&gt;"√")*AND(F10&lt;&gt;"√"),0.25*G10*H10))))))</f>
        <v/>
      </c>
      <c r="J10" s="198">
        <f>IF(I10="N/A","不适用",IF(I10=1,"符合",IF(I10=0,"不符合","部分符合")))</f>
        <v/>
      </c>
      <c r="K10" s="235" t="n"/>
      <c r="L10" s="235" t="n"/>
      <c r="M10" s="235" t="n"/>
      <c r="N10" s="197">
        <f>IF(I10="N/A","N/A",整体测评!O$6/M$5)</f>
        <v/>
      </c>
      <c r="O10" s="202">
        <f>IF(I10="N/A","N/A",I10*N10)</f>
        <v/>
      </c>
      <c r="P10" s="202">
        <f>IF(I10="N/A","N/A",N10-O10)</f>
        <v/>
      </c>
      <c r="Q10" s="15" t="n"/>
      <c r="R10" s="15" t="n"/>
      <c r="S10" s="15" t="n"/>
      <c r="T10" s="15" t="n"/>
      <c r="U10" s="19" t="n"/>
    </row>
    <row r="11" ht="14.6" customHeight="1">
      <c r="A11" s="280" t="n"/>
      <c r="B11" s="188" t="inlineStr">
        <is>
          <t>现金管理系统与国电之间的通道</t>
        </is>
      </c>
      <c r="C11" s="176" t="inlineStr">
        <is>
          <t>适用</t>
        </is>
      </c>
      <c r="D11" s="183" t="inlineStr">
        <is>
          <t>×</t>
        </is>
      </c>
      <c r="E11" s="183" t="inlineStr">
        <is>
          <t>/</t>
        </is>
      </c>
      <c r="F11" s="183" t="inlineStr">
        <is>
          <t>/</t>
        </is>
      </c>
      <c r="G11" s="176" t="n">
        <v>1</v>
      </c>
      <c r="H11" s="176" t="n">
        <v>1</v>
      </c>
      <c r="I11" s="198">
        <f>IF(C11="不适用","N/A",IF(D11&lt;&gt;"√",0,IF((E11="√")*AND(F11="√"),1,IF((E11&lt;&gt;"√")*AND(F11="√"),0.5*G11,IF((E11="√")*AND(F11&lt;&gt;"√"),0.5*H11,IF((E11&lt;&gt;"√")*AND(F11&lt;&gt;"√"),0.25*G11*H11))))))</f>
        <v/>
      </c>
      <c r="J11" s="198">
        <f>IF(I11="N/A","不适用",IF(I11=1,"符合",IF(I11=0,"不符合","部分符合")))</f>
        <v/>
      </c>
      <c r="K11" s="235" t="n"/>
      <c r="L11" s="235" t="n"/>
      <c r="M11" s="235" t="n"/>
      <c r="N11" s="197">
        <f>IF(I11="N/A","N/A",整体测评!O$6/M$5)</f>
        <v/>
      </c>
      <c r="O11" s="202">
        <f>IF(I11="N/A","N/A",I11*N11)</f>
        <v/>
      </c>
      <c r="P11" s="202">
        <f>IF(I11="N/A","N/A",N11-O11)</f>
        <v/>
      </c>
      <c r="Q11" s="15" t="n"/>
      <c r="R11" s="15" t="n"/>
      <c r="S11" s="15" t="n"/>
      <c r="T11" s="15" t="n"/>
      <c r="U11" s="19" t="n"/>
    </row>
    <row r="12" ht="14.6" customHeight="1">
      <c r="A12" s="280" t="n"/>
      <c r="B12" s="188" t="inlineStr">
        <is>
          <t>现金管理系统与监狱管理局之间的通道</t>
        </is>
      </c>
      <c r="C12" s="176" t="inlineStr">
        <is>
          <t>适用</t>
        </is>
      </c>
      <c r="D12" s="183" t="inlineStr">
        <is>
          <t>×</t>
        </is>
      </c>
      <c r="E12" s="183" t="inlineStr">
        <is>
          <t>/</t>
        </is>
      </c>
      <c r="F12" s="183" t="inlineStr">
        <is>
          <t>/</t>
        </is>
      </c>
      <c r="G12" s="176" t="n">
        <v>1</v>
      </c>
      <c r="H12" s="176" t="n">
        <v>1</v>
      </c>
      <c r="I12" s="198">
        <f>IF(C12="不适用","N/A",IF(D12&lt;&gt;"√",0,IF((E12="√")*AND(F12="√"),1,IF((E12&lt;&gt;"√")*AND(F12="√"),0.5*G12,IF((E12="√")*AND(F12&lt;&gt;"√"),0.5*H12,IF((E12&lt;&gt;"√")*AND(F12&lt;&gt;"√"),0.25*G12*H12))))))</f>
        <v/>
      </c>
      <c r="J12" s="198">
        <f>IF(I12="N/A","不适用",IF(I12=1,"符合",IF(I12=0,"不符合","部分符合")))</f>
        <v/>
      </c>
      <c r="K12" s="235" t="n"/>
      <c r="L12" s="235" t="n"/>
      <c r="M12" s="235" t="n"/>
      <c r="N12" s="197">
        <f>IF(I12="N/A","N/A",整体测评!O$6/M$5)</f>
        <v/>
      </c>
      <c r="O12" s="202">
        <f>IF(I12="N/A","N/A",I12*N12)</f>
        <v/>
      </c>
      <c r="P12" s="202">
        <f>IF(I12="N/A","N/A",N12-O12)</f>
        <v/>
      </c>
      <c r="Q12" s="15" t="n"/>
      <c r="R12" s="15" t="n"/>
      <c r="S12" s="15" t="n"/>
      <c r="T12" s="15" t="n"/>
      <c r="U12" s="19" t="n"/>
    </row>
    <row r="13" ht="14.6" customHeight="1">
      <c r="A13" s="280" t="n"/>
      <c r="B13" s="188" t="inlineStr">
        <is>
          <t>现金管理系统与烟草之间的通道</t>
        </is>
      </c>
      <c r="C13" s="176" t="inlineStr">
        <is>
          <t>适用</t>
        </is>
      </c>
      <c r="D13" s="183" t="inlineStr">
        <is>
          <t>×</t>
        </is>
      </c>
      <c r="E13" s="183" t="inlineStr">
        <is>
          <t>/</t>
        </is>
      </c>
      <c r="F13" s="183" t="inlineStr">
        <is>
          <t>/</t>
        </is>
      </c>
      <c r="G13" s="176" t="n">
        <v>1</v>
      </c>
      <c r="H13" s="176" t="n">
        <v>1</v>
      </c>
      <c r="I13" s="198">
        <f>IF(C13="不适用","N/A",IF(D13&lt;&gt;"√",0,IF((E13="√")*AND(F13="√"),1,IF((E13&lt;&gt;"√")*AND(F13="√"),0.5*G13,IF((E13="√")*AND(F13&lt;&gt;"√"),0.5*H13,IF((E13&lt;&gt;"√")*AND(F13&lt;&gt;"√"),0.25*G13*H13))))))</f>
        <v/>
      </c>
      <c r="J13" s="198">
        <f>IF(I13="N/A","不适用",IF(I13=1,"符合",IF(I13=0,"不符合","部分符合")))</f>
        <v/>
      </c>
      <c r="K13" s="235" t="n"/>
      <c r="L13" s="235" t="n"/>
      <c r="M13" s="235" t="n"/>
      <c r="N13" s="197">
        <f>IF(I13="N/A","N/A",整体测评!O$6/M$5)</f>
        <v/>
      </c>
      <c r="O13" s="202">
        <f>IF(I13="N/A","N/A",I13*N13)</f>
        <v/>
      </c>
      <c r="P13" s="202">
        <f>IF(I13="N/A","N/A",N13-O13)</f>
        <v/>
      </c>
      <c r="Q13" s="15" t="n"/>
      <c r="R13" s="15" t="n"/>
      <c r="S13" s="15" t="n"/>
      <c r="T13" s="15" t="n"/>
      <c r="U13" s="19" t="n"/>
    </row>
    <row r="14" ht="14.6" customHeight="1">
      <c r="A14" s="280" t="n"/>
      <c r="B14" s="188" t="inlineStr">
        <is>
          <t>现金管理系统与预售房之间的通道</t>
        </is>
      </c>
      <c r="C14" s="176" t="inlineStr">
        <is>
          <t>适用</t>
        </is>
      </c>
      <c r="D14" s="183" t="inlineStr">
        <is>
          <t>×</t>
        </is>
      </c>
      <c r="E14" s="183" t="inlineStr">
        <is>
          <t>/</t>
        </is>
      </c>
      <c r="F14" s="183" t="inlineStr">
        <is>
          <t>/</t>
        </is>
      </c>
      <c r="G14" s="176" t="n">
        <v>1</v>
      </c>
      <c r="H14" s="176" t="n">
        <v>1</v>
      </c>
      <c r="I14" s="198">
        <f>IF(C14="不适用","N/A",IF(D14&lt;&gt;"√",0,IF((E14="√")*AND(F14="√"),1,IF((E14&lt;&gt;"√")*AND(F14="√"),0.5*G14,IF((E14="√")*AND(F14&lt;&gt;"√"),0.5*H14,IF((E14&lt;&gt;"√")*AND(F14&lt;&gt;"√"),0.25*G14*H14))))))</f>
        <v/>
      </c>
      <c r="J14" s="198">
        <f>IF(I14="N/A","不适用",IF(I14=1,"符合",IF(I14=0,"不符合","部分符合")))</f>
        <v/>
      </c>
      <c r="K14" s="235" t="n"/>
      <c r="L14" s="235" t="n"/>
      <c r="M14" s="235" t="n"/>
      <c r="N14" s="197">
        <f>IF(I14="N/A","N/A",整体测评!O$6/M$5)</f>
        <v/>
      </c>
      <c r="O14" s="202">
        <f>IF(I14="N/A","N/A",I14*N14)</f>
        <v/>
      </c>
      <c r="P14" s="202">
        <f>IF(I14="N/A","N/A",N14-O14)</f>
        <v/>
      </c>
      <c r="Q14" s="15" t="n"/>
      <c r="R14" s="15" t="n"/>
      <c r="S14" s="15" t="n"/>
      <c r="T14" s="15" t="n"/>
      <c r="U14" s="19" t="n"/>
    </row>
    <row r="15" ht="27.45" customHeight="1">
      <c r="A15" s="280" t="n"/>
      <c r="B15" s="188" t="inlineStr">
        <is>
          <t>新一代电子不停车收费系统与公路局之间的通道</t>
        </is>
      </c>
      <c r="C15" s="176" t="inlineStr">
        <is>
          <t>适用</t>
        </is>
      </c>
      <c r="D15" s="183" t="inlineStr">
        <is>
          <t>×</t>
        </is>
      </c>
      <c r="E15" s="183" t="inlineStr">
        <is>
          <t>/</t>
        </is>
      </c>
      <c r="F15" s="183" t="inlineStr">
        <is>
          <t>/</t>
        </is>
      </c>
      <c r="G15" s="176" t="n">
        <v>1</v>
      </c>
      <c r="H15" s="176" t="n">
        <v>1</v>
      </c>
      <c r="I15" s="198">
        <f>IF(C15="不适用","N/A",IF(D15&lt;&gt;"√",0,IF((E15="√")*AND(F15="√"),1,IF((E15&lt;&gt;"√")*AND(F15="√"),0.5*G15,IF((E15="√")*AND(F15&lt;&gt;"√"),0.5*H15,IF((E15&lt;&gt;"√")*AND(F15&lt;&gt;"√"),0.25*G15*H15))))))</f>
        <v/>
      </c>
      <c r="J15" s="198">
        <f>IF(I15="N/A","不适用",IF(I15=1,"符合",IF(I15=0,"不符合","部分符合")))</f>
        <v/>
      </c>
      <c r="K15" s="235" t="n"/>
      <c r="L15" s="235" t="n"/>
      <c r="M15" s="235" t="n"/>
      <c r="N15" s="197">
        <f>IF(I15="N/A","N/A",整体测评!O$6/M$5)</f>
        <v/>
      </c>
      <c r="O15" s="202">
        <f>IF(I15="N/A","N/A",I15*N15)</f>
        <v/>
      </c>
      <c r="P15" s="202">
        <f>IF(I15="N/A","N/A",N15-O15)</f>
        <v/>
      </c>
      <c r="Q15" s="15" t="n"/>
      <c r="R15" s="15" t="n"/>
      <c r="S15" s="15" t="n"/>
      <c r="T15" s="15" t="n"/>
      <c r="U15" s="19" t="n"/>
    </row>
    <row r="16" ht="14.6" customHeight="1">
      <c r="A16" s="280" t="n"/>
      <c r="B16" s="188" t="inlineStr">
        <is>
          <t>代收付系统与医保厅之间的通道</t>
        </is>
      </c>
      <c r="C16" s="176" t="inlineStr">
        <is>
          <t>适用</t>
        </is>
      </c>
      <c r="D16" s="183" t="inlineStr">
        <is>
          <t>×</t>
        </is>
      </c>
      <c r="E16" s="183" t="inlineStr">
        <is>
          <t>/</t>
        </is>
      </c>
      <c r="F16" s="183" t="inlineStr">
        <is>
          <t>/</t>
        </is>
      </c>
      <c r="G16" s="176" t="n">
        <v>1</v>
      </c>
      <c r="H16" s="176" t="n">
        <v>1</v>
      </c>
      <c r="I16" s="198">
        <f>IF(C16="不适用","N/A",IF(D16&lt;&gt;"√",0,IF((E16="√")*AND(F16="√"),1,IF((E16&lt;&gt;"√")*AND(F16="√"),0.5*G16,IF((E16="√")*AND(F16&lt;&gt;"√"),0.5*H16,IF((E16&lt;&gt;"√")*AND(F16&lt;&gt;"√"),0.25*G16*H16))))))</f>
        <v/>
      </c>
      <c r="J16" s="198">
        <f>IF(I16="N/A","不适用",IF(I16=1,"符合",IF(I16=0,"不符合","部分符合")))</f>
        <v/>
      </c>
      <c r="K16" s="235" t="n"/>
      <c r="L16" s="235" t="n"/>
      <c r="M16" s="235" t="n"/>
      <c r="N16" s="197">
        <f>IF(I16="N/A","N/A",整体测评!O$6/M$5)</f>
        <v/>
      </c>
      <c r="O16" s="202">
        <f>IF(I16="N/A","N/A",I16*N16)</f>
        <v/>
      </c>
      <c r="P16" s="202">
        <f>IF(I16="N/A","N/A",N16-O16)</f>
        <v/>
      </c>
      <c r="Q16" s="15" t="n"/>
      <c r="R16" s="15" t="n"/>
      <c r="S16" s="15" t="n"/>
      <c r="T16" s="15" t="n"/>
      <c r="U16" s="19" t="n"/>
    </row>
    <row r="17" ht="14.6" customHeight="1">
      <c r="A17" s="280" t="n"/>
      <c r="B17" s="188" t="inlineStr">
        <is>
          <t>代收付系统与学校之间的通道</t>
        </is>
      </c>
      <c r="C17" s="176" t="inlineStr">
        <is>
          <t>适用</t>
        </is>
      </c>
      <c r="D17" s="183" t="inlineStr">
        <is>
          <t>×</t>
        </is>
      </c>
      <c r="E17" s="183" t="inlineStr">
        <is>
          <t>/</t>
        </is>
      </c>
      <c r="F17" s="183" t="inlineStr">
        <is>
          <t>/</t>
        </is>
      </c>
      <c r="G17" s="176" t="n">
        <v>1</v>
      </c>
      <c r="H17" s="176" t="n">
        <v>1</v>
      </c>
      <c r="I17" s="198">
        <f>IF(C17="不适用","N/A",IF(D17&lt;&gt;"√",0,IF((E17="√")*AND(F17="√"),1,IF((E17&lt;&gt;"√")*AND(F17="√"),0.5*G17,IF((E17="√")*AND(F17&lt;&gt;"√"),0.5*H17,IF((E17&lt;&gt;"√")*AND(F17&lt;&gt;"√"),0.25*G17*H17))))))</f>
        <v/>
      </c>
      <c r="J17" s="198">
        <f>IF(I17="N/A","不适用",IF(I17=1,"符合",IF(I17=0,"不符合","部分符合")))</f>
        <v/>
      </c>
      <c r="K17" s="235" t="n"/>
      <c r="L17" s="235" t="n"/>
      <c r="M17" s="235" t="n"/>
      <c r="N17" s="197">
        <f>IF(I17="N/A","N/A",整体测评!O$6/M$5)</f>
        <v/>
      </c>
      <c r="O17" s="202">
        <f>IF(I17="N/A","N/A",I17*N17)</f>
        <v/>
      </c>
      <c r="P17" s="202">
        <f>IF(I17="N/A","N/A",N17-O17)</f>
        <v/>
      </c>
      <c r="Q17" s="15" t="n"/>
      <c r="R17" s="15" t="n"/>
      <c r="S17" s="15" t="n"/>
      <c r="T17" s="15" t="n"/>
      <c r="U17" s="19" t="n"/>
    </row>
    <row r="18" ht="27.45" customHeight="1">
      <c r="A18" s="280" t="n"/>
      <c r="B18" s="188" t="inlineStr">
        <is>
          <t>代收付系统与银川市物业服务中心之间的通道</t>
        </is>
      </c>
      <c r="C18" s="176" t="inlineStr">
        <is>
          <t>适用</t>
        </is>
      </c>
      <c r="D18" s="183" t="inlineStr">
        <is>
          <t>×</t>
        </is>
      </c>
      <c r="E18" s="183" t="inlineStr">
        <is>
          <t>/</t>
        </is>
      </c>
      <c r="F18" s="183" t="inlineStr">
        <is>
          <t>/</t>
        </is>
      </c>
      <c r="G18" s="176" t="n">
        <v>1</v>
      </c>
      <c r="H18" s="176" t="n">
        <v>1</v>
      </c>
      <c r="I18" s="198">
        <f>IF(C18="不适用","N/A",IF(D18&lt;&gt;"√",0,IF((E18="√")*AND(F18="√"),1,IF((E18&lt;&gt;"√")*AND(F18="√"),0.5*G18,IF((E18="√")*AND(F18&lt;&gt;"√"),0.5*H18,IF((E18&lt;&gt;"√")*AND(F18&lt;&gt;"√"),0.25*G18*H18))))))</f>
        <v/>
      </c>
      <c r="J18" s="198">
        <f>IF(I18="N/A","不适用",IF(I18=1,"符合",IF(I18=0,"不符合","部分符合")))</f>
        <v/>
      </c>
      <c r="K18" s="235" t="n"/>
      <c r="L18" s="235" t="n"/>
      <c r="M18" s="235" t="n"/>
      <c r="N18" s="197">
        <f>IF(I18="N/A","N/A",整体测评!O$6/M$5)</f>
        <v/>
      </c>
      <c r="O18" s="202">
        <f>IF(I18="N/A","N/A",I18*N18)</f>
        <v/>
      </c>
      <c r="P18" s="202">
        <f>IF(I18="N/A","N/A",N18-O18)</f>
        <v/>
      </c>
      <c r="Q18" s="15" t="n"/>
      <c r="R18" s="15" t="n"/>
      <c r="S18" s="15" t="n"/>
      <c r="T18" s="15" t="n"/>
      <c r="U18" s="19" t="n"/>
    </row>
    <row r="19" ht="27.45" customHeight="1">
      <c r="A19" s="280" t="n"/>
      <c r="B19" s="188" t="inlineStr">
        <is>
          <t>代收付系统与宁夏自治区财政厅之间的通道</t>
        </is>
      </c>
      <c r="C19" s="176" t="inlineStr">
        <is>
          <t>适用</t>
        </is>
      </c>
      <c r="D19" s="183" t="inlineStr">
        <is>
          <t>×</t>
        </is>
      </c>
      <c r="E19" s="183" t="inlineStr">
        <is>
          <t>/</t>
        </is>
      </c>
      <c r="F19" s="183" t="inlineStr">
        <is>
          <t>/</t>
        </is>
      </c>
      <c r="G19" s="176" t="n">
        <v>1</v>
      </c>
      <c r="H19" s="176" t="n">
        <v>1</v>
      </c>
      <c r="I19" s="198">
        <f>IF(C19="不适用","N/A",IF(D19&lt;&gt;"√",0,IF((E19="√")*AND(F19="√"),1,IF((E19&lt;&gt;"√")*AND(F19="√"),0.5*G19,IF((E19="√")*AND(F19&lt;&gt;"√"),0.5*H19,IF((E19&lt;&gt;"√")*AND(F19&lt;&gt;"√"),0.25*G19*H19))))))</f>
        <v/>
      </c>
      <c r="J19" s="198">
        <f>IF(I19="N/A","不适用",IF(I19=1,"符合",IF(I19=0,"不符合","部分符合")))</f>
        <v/>
      </c>
      <c r="K19" s="235" t="n"/>
      <c r="L19" s="235" t="n"/>
      <c r="M19" s="235" t="n"/>
      <c r="N19" s="197">
        <f>IF(I19="N/A","N/A",整体测评!O$6/M$5)</f>
        <v/>
      </c>
      <c r="O19" s="202">
        <f>IF(I19="N/A","N/A",I19*N19)</f>
        <v/>
      </c>
      <c r="P19" s="202">
        <f>IF(I19="N/A","N/A",N19-O19)</f>
        <v/>
      </c>
      <c r="Q19" s="15" t="n"/>
      <c r="R19" s="15" t="n"/>
      <c r="S19" s="15" t="n"/>
      <c r="T19" s="15" t="n"/>
      <c r="U19" s="19" t="n"/>
    </row>
    <row r="20" ht="14.6" customHeight="1">
      <c r="A20" s="280" t="n"/>
      <c r="B20" s="188" t="inlineStr">
        <is>
          <t>集中管理通道</t>
        </is>
      </c>
      <c r="C20" s="176" t="inlineStr">
        <is>
          <t>适用</t>
        </is>
      </c>
      <c r="D20" s="183" t="inlineStr">
        <is>
          <t>×</t>
        </is>
      </c>
      <c r="E20" s="183" t="inlineStr">
        <is>
          <t>/</t>
        </is>
      </c>
      <c r="F20" s="183" t="inlineStr">
        <is>
          <t>/</t>
        </is>
      </c>
      <c r="G20" s="176" t="n">
        <v>1</v>
      </c>
      <c r="H20" s="176" t="n">
        <v>1</v>
      </c>
      <c r="I20" s="198">
        <f>IF(C20="不适用","N/A",IF(D20&lt;&gt;"√",0,IF((E20="√")*AND(F20="√"),1,IF((E20&lt;&gt;"√")*AND(F20="√"),0.5*G20,IF((E20="√")*AND(F20&lt;&gt;"√"),0.5*H20,IF((E20&lt;&gt;"√")*AND(F20&lt;&gt;"√"),0.25*G20*H20))))))</f>
        <v/>
      </c>
      <c r="J20" s="198">
        <f>IF(I20="N/A","不适用",IF(I20=1,"符合",IF(I20=0,"不符合","部分符合")))</f>
        <v/>
      </c>
      <c r="K20" s="235" t="n"/>
      <c r="L20" s="235" t="n"/>
      <c r="M20" s="235" t="n"/>
      <c r="N20" s="197">
        <f>IF(I20="N/A","N/A",整体测评!O$6/M$5)</f>
        <v/>
      </c>
      <c r="O20" s="202">
        <f>IF(I20="N/A","N/A",I20*N20)</f>
        <v/>
      </c>
      <c r="P20" s="202">
        <f>IF(I20="N/A","N/A",N20-O20)</f>
        <v/>
      </c>
      <c r="Q20" s="15" t="n"/>
      <c r="R20" s="15" t="n"/>
      <c r="S20" s="15" t="n"/>
      <c r="T20" s="15" t="n"/>
      <c r="U20" s="19" t="n"/>
    </row>
    <row r="21" ht="27.45" customHeight="1">
      <c r="A21" s="280" t="n"/>
      <c r="B21" s="188" t="inlineStr">
        <is>
          <t>代理财政集中收付系统前置与财政厅间通道</t>
        </is>
      </c>
      <c r="C21" s="176" t="inlineStr">
        <is>
          <t>适用</t>
        </is>
      </c>
      <c r="D21" s="183" t="inlineStr">
        <is>
          <t>×</t>
        </is>
      </c>
      <c r="E21" s="183" t="inlineStr">
        <is>
          <t>/</t>
        </is>
      </c>
      <c r="F21" s="183" t="inlineStr">
        <is>
          <t>/</t>
        </is>
      </c>
      <c r="G21" s="176" t="n">
        <v>1</v>
      </c>
      <c r="H21" s="176" t="n">
        <v>1</v>
      </c>
      <c r="I21" s="198">
        <f>IF(C21="不适用","N/A",IF(D21&lt;&gt;"√",0,IF((E21="√")*AND(F21="√"),1,IF((E21&lt;&gt;"√")*AND(F21="√"),0.5*G21,IF((E21="√")*AND(F21&lt;&gt;"√"),0.5*H21,IF((E21&lt;&gt;"√")*AND(F21&lt;&gt;"√"),0.25*G21*H21))))))</f>
        <v/>
      </c>
      <c r="J21" s="198">
        <f>IF(I21="N/A","不适用",IF(I21=1,"符合",IF(I21=0,"不符合","部分符合")))</f>
        <v/>
      </c>
      <c r="K21" s="235" t="n"/>
      <c r="L21" s="235" t="n"/>
      <c r="M21" s="235" t="n"/>
      <c r="N21" s="197">
        <f>IF(I21="N/A","N/A",整体测评!O$6/M$5)</f>
        <v/>
      </c>
      <c r="O21" s="202">
        <f>IF(I21="N/A","N/A",I21*N21)</f>
        <v/>
      </c>
      <c r="P21" s="202">
        <f>IF(I21="N/A","N/A",N21-O21)</f>
        <v/>
      </c>
      <c r="Q21" s="15" t="n"/>
      <c r="R21" s="15" t="n"/>
      <c r="S21" s="15" t="n"/>
      <c r="T21" s="15" t="n"/>
      <c r="U21" s="19" t="n"/>
    </row>
    <row r="22" ht="14.6" customHeight="1">
      <c r="A22" s="280" t="n"/>
      <c r="B22" s="188" t="inlineStr">
        <is>
          <t>分行智能管理系统-人行对接通信信道</t>
        </is>
      </c>
      <c r="C22" s="176" t="inlineStr">
        <is>
          <t>适用</t>
        </is>
      </c>
      <c r="D22" s="183" t="inlineStr">
        <is>
          <t>×</t>
        </is>
      </c>
      <c r="E22" s="183" t="inlineStr">
        <is>
          <t>/</t>
        </is>
      </c>
      <c r="F22" s="183" t="inlineStr">
        <is>
          <t>/</t>
        </is>
      </c>
      <c r="G22" s="176" t="n">
        <v>1</v>
      </c>
      <c r="H22" s="176" t="n">
        <v>1</v>
      </c>
      <c r="I22" s="198">
        <f>IF(C22="不适用","N/A",IF(D22&lt;&gt;"√",0,IF((E22="√")*AND(F22="√"),1,IF((E22&lt;&gt;"√")*AND(F22="√"),0.5*G22,IF((E22="√")*AND(F22&lt;&gt;"√"),0.5*H22,IF((E22&lt;&gt;"√")*AND(F22&lt;&gt;"√"),0.25*G22*H22))))))</f>
        <v/>
      </c>
      <c r="J22" s="198">
        <f>IF(I22="N/A","不适用",IF(I22=1,"符合",IF(I22=0,"不符合","部分符合")))</f>
        <v/>
      </c>
      <c r="K22" s="235" t="n"/>
      <c r="L22" s="235" t="n"/>
      <c r="M22" s="235" t="n"/>
      <c r="N22" s="197">
        <f>IF(I22="N/A","N/A",整体测评!O$6/M$5)</f>
        <v/>
      </c>
      <c r="O22" s="202">
        <f>IF(I22="N/A","N/A",I22*N22)</f>
        <v/>
      </c>
      <c r="P22" s="202">
        <f>IF(I22="N/A","N/A",N22-O22)</f>
        <v/>
      </c>
      <c r="Q22" s="15" t="n"/>
      <c r="R22" s="15" t="n"/>
      <c r="S22" s="15" t="n"/>
      <c r="T22" s="15" t="n"/>
      <c r="U22" s="19" t="n"/>
    </row>
    <row r="23" ht="14.6" customHeight="1">
      <c r="A23" s="280" t="n"/>
      <c r="B23" s="188" t="inlineStr">
        <is>
          <t>分行智能管理系统-客户端通信信道</t>
        </is>
      </c>
      <c r="C23" s="176" t="inlineStr">
        <is>
          <t>适用</t>
        </is>
      </c>
      <c r="D23" s="183" t="inlineStr">
        <is>
          <t>×</t>
        </is>
      </c>
      <c r="E23" s="183" t="inlineStr">
        <is>
          <t>/</t>
        </is>
      </c>
      <c r="F23" s="183" t="inlineStr">
        <is>
          <t>/</t>
        </is>
      </c>
      <c r="G23" s="176" t="n">
        <v>1</v>
      </c>
      <c r="H23" s="176" t="n">
        <v>1</v>
      </c>
      <c r="I23" s="198">
        <f>IF(C23="不适用","N/A",IF(D23&lt;&gt;"√",0,IF((E23="√")*AND(F23="√"),1,IF((E23&lt;&gt;"√")*AND(F23="√"),0.5*G23,IF((E23="√")*AND(F23&lt;&gt;"√"),0.5*H23,IF((E23&lt;&gt;"√")*AND(F23&lt;&gt;"√"),0.25*G23*H23))))))</f>
        <v/>
      </c>
      <c r="J23" s="198">
        <f>IF(I23="N/A","不适用",IF(I23=1,"符合",IF(I23=0,"不符合","部分符合")))</f>
        <v/>
      </c>
      <c r="K23" s="235" t="n"/>
      <c r="L23" s="235" t="n"/>
      <c r="M23" s="235" t="n"/>
      <c r="N23" s="197">
        <f>IF(I23="N/A","N/A",整体测评!O$6/M$5)</f>
        <v/>
      </c>
      <c r="O23" s="202">
        <f>IF(I23="N/A","N/A",I23*N23)</f>
        <v/>
      </c>
      <c r="P23" s="202">
        <f>IF(I23="N/A","N/A",N23-O23)</f>
        <v/>
      </c>
      <c r="Q23" s="15" t="n"/>
      <c r="R23" s="15" t="n"/>
      <c r="S23" s="15" t="n"/>
      <c r="T23" s="15" t="n"/>
      <c r="U23" s="19" t="n"/>
    </row>
    <row r="24" ht="14.6" customHeight="1">
      <c r="A24" s="280" t="n"/>
      <c r="B24" s="188" t="inlineStr">
        <is>
          <t>区域客户服务系统-医院对接通信信道</t>
        </is>
      </c>
      <c r="C24" s="176" t="inlineStr">
        <is>
          <t>适用</t>
        </is>
      </c>
      <c r="D24" s="183" t="inlineStr">
        <is>
          <t>×</t>
        </is>
      </c>
      <c r="E24" s="183" t="inlineStr">
        <is>
          <t>/</t>
        </is>
      </c>
      <c r="F24" s="183" t="inlineStr">
        <is>
          <t>/</t>
        </is>
      </c>
      <c r="G24" s="176" t="n">
        <v>1</v>
      </c>
      <c r="H24" s="176" t="n">
        <v>1</v>
      </c>
      <c r="I24" s="198">
        <f>IF(C24="不适用","N/A",IF(D24&lt;&gt;"√",0,IF((E24="√")*AND(F24="√"),1,IF((E24&lt;&gt;"√")*AND(F24="√"),0.5*G24,IF((E24="√")*AND(F24&lt;&gt;"√"),0.5*H24,IF((E24&lt;&gt;"√")*AND(F24&lt;&gt;"√"),0.25*G24*H24))))))</f>
        <v/>
      </c>
      <c r="J24" s="198">
        <f>IF(I24="N/A","不适用",IF(I24=1,"符合",IF(I24=0,"不符合","部分符合")))</f>
        <v/>
      </c>
      <c r="K24" s="235" t="n"/>
      <c r="L24" s="235" t="n"/>
      <c r="M24" s="235" t="n"/>
      <c r="N24" s="197">
        <f>IF(I24="N/A","N/A",整体测评!O$6/M$5)</f>
        <v/>
      </c>
      <c r="O24" s="202">
        <f>IF(I24="N/A","N/A",I24*N24)</f>
        <v/>
      </c>
      <c r="P24" s="202">
        <f>IF(I24="N/A","N/A",N24-O24)</f>
        <v/>
      </c>
      <c r="Q24" s="15" t="n"/>
      <c r="R24" s="15" t="n"/>
      <c r="S24" s="15" t="n"/>
      <c r="T24" s="15" t="n"/>
      <c r="U24" s="19" t="n"/>
    </row>
    <row r="25" ht="27.9" customHeight="1">
      <c r="A25" s="280" t="n"/>
      <c r="B25" s="188" t="inlineStr">
        <is>
          <t>区域客户服务系统-市场监督管理厅通信信道</t>
        </is>
      </c>
      <c r="C25" s="176" t="inlineStr">
        <is>
          <t>适用</t>
        </is>
      </c>
      <c r="D25" s="183" t="inlineStr">
        <is>
          <t>×</t>
        </is>
      </c>
      <c r="E25" s="183" t="inlineStr">
        <is>
          <t>/</t>
        </is>
      </c>
      <c r="F25" s="183" t="inlineStr">
        <is>
          <t>/</t>
        </is>
      </c>
      <c r="G25" s="176" t="n">
        <v>1</v>
      </c>
      <c r="H25" s="176" t="n">
        <v>1</v>
      </c>
      <c r="I25" s="198">
        <f>IF(C25="不适用","N/A",IF(D25&lt;&gt;"√",0,IF((E25="√")*AND(F25="√"),1,IF((E25&lt;&gt;"√")*AND(F25="√"),0.5*G25,IF((E25="√")*AND(F25&lt;&gt;"√"),0.5*H25,IF((E25&lt;&gt;"√")*AND(F25&lt;&gt;"√"),0.25*G25*H25))))))</f>
        <v/>
      </c>
      <c r="J25" s="198">
        <f>IF(I25="N/A","不适用",IF(I25=1,"符合",IF(I25=0,"不符合","部分符合")))</f>
        <v/>
      </c>
      <c r="K25" s="235" t="n"/>
      <c r="L25" s="235" t="n"/>
      <c r="M25" s="235" t="n"/>
      <c r="N25" s="197">
        <f>IF(I25="N/A","N/A",整体测评!O$6/M$5)</f>
        <v/>
      </c>
      <c r="O25" s="202">
        <f>IF(I25="N/A","N/A",I25*N25)</f>
        <v/>
      </c>
      <c r="P25" s="202">
        <f>IF(I25="N/A","N/A",N25-O25)</f>
        <v/>
      </c>
      <c r="Q25" s="15" t="n"/>
      <c r="R25" s="15" t="n"/>
      <c r="S25" s="15" t="n"/>
      <c r="T25" s="15" t="n"/>
      <c r="U25" s="19" t="n"/>
    </row>
    <row r="26" ht="14.6" customHeight="1">
      <c r="A26" s="280" t="n"/>
      <c r="B26" s="188" t="inlineStr">
        <is>
          <t>区域客户服务系统-民政厅对接通信信道</t>
        </is>
      </c>
      <c r="C26" s="176" t="inlineStr">
        <is>
          <t>适用</t>
        </is>
      </c>
      <c r="D26" s="183" t="inlineStr">
        <is>
          <t>×</t>
        </is>
      </c>
      <c r="E26" s="183" t="inlineStr">
        <is>
          <t>/</t>
        </is>
      </c>
      <c r="F26" s="183" t="inlineStr">
        <is>
          <t>/</t>
        </is>
      </c>
      <c r="G26" s="176" t="n">
        <v>1</v>
      </c>
      <c r="H26" s="176" t="n">
        <v>1</v>
      </c>
      <c r="I26" s="198">
        <f>IF(C26="不适用","N/A",IF(D26&lt;&gt;"√",0,IF((E26="√")*AND(F26="√"),1,IF((E26&lt;&gt;"√")*AND(F26="√"),0.5*G26,IF((E26="√")*AND(F26&lt;&gt;"√"),0.5*H26,IF((E26&lt;&gt;"√")*AND(F26&lt;&gt;"√"),0.25*G26*H26))))))</f>
        <v/>
      </c>
      <c r="J26" s="198">
        <f>IF(I26="N/A","不适用",IF(I26=1,"符合",IF(I26=0,"不符合","部分符合")))</f>
        <v/>
      </c>
      <c r="K26" s="235" t="n"/>
      <c r="L26" s="235" t="n"/>
      <c r="M26" s="235" t="n"/>
      <c r="N26" s="197">
        <f>IF(I26="N/A","N/A",整体测评!O$6/M$5)</f>
        <v/>
      </c>
      <c r="O26" s="202">
        <f>IF(I26="N/A","N/A",I26*N26)</f>
        <v/>
      </c>
      <c r="P26" s="202">
        <f>IF(I26="N/A","N/A",N26-O26)</f>
        <v/>
      </c>
      <c r="Q26" s="15" t="n"/>
      <c r="R26" s="15" t="n"/>
      <c r="S26" s="15" t="n"/>
      <c r="T26" s="15" t="n"/>
      <c r="U26" s="19" t="n"/>
    </row>
    <row r="27" ht="14.6" customHeight="1">
      <c r="A27" s="280" t="n"/>
      <c r="B27" s="188" t="inlineStr">
        <is>
          <t>区域客户服务系统-总行对接通信信道</t>
        </is>
      </c>
      <c r="C27" s="176" t="inlineStr">
        <is>
          <t>适用</t>
        </is>
      </c>
      <c r="D27" s="183" t="inlineStr">
        <is>
          <t>√</t>
        </is>
      </c>
      <c r="E27" s="183" t="inlineStr">
        <is>
          <t>×</t>
        </is>
      </c>
      <c r="F27" s="183" t="inlineStr">
        <is>
          <t>×</t>
        </is>
      </c>
      <c r="G27" s="176" t="n">
        <v>1</v>
      </c>
      <c r="H27" s="176" t="n">
        <v>1</v>
      </c>
      <c r="I27" s="198">
        <f>IF(C27="不适用","N/A",IF(D27&lt;&gt;"√",0,IF((E27="√")*AND(F27="√"),1,IF((E27&lt;&gt;"√")*AND(F27="√"),0.5*G27,IF((E27="√")*AND(F27&lt;&gt;"√"),0.5*H27,IF((E27&lt;&gt;"√")*AND(F27&lt;&gt;"√"),0.25*G27*H27))))))</f>
        <v/>
      </c>
      <c r="J27" s="198">
        <f>IF(I27="N/A","不适用",IF(I27=1,"符合",IF(I27=0,"不符合","部分符合")))</f>
        <v/>
      </c>
      <c r="K27" s="235" t="n"/>
      <c r="L27" s="235" t="n"/>
      <c r="M27" s="235" t="n"/>
      <c r="N27" s="197">
        <f>IF(I27="N/A","N/A",整体测评!O$6/M$5)</f>
        <v/>
      </c>
      <c r="O27" s="202">
        <f>IF(I27="N/A","N/A",I27*N27)</f>
        <v/>
      </c>
      <c r="P27" s="202">
        <f>IF(I27="N/A","N/A",N27-O27)</f>
        <v/>
      </c>
      <c r="Q27" s="15" t="n"/>
      <c r="R27" s="15" t="n"/>
      <c r="S27" s="15" t="n"/>
      <c r="T27" s="15" t="n"/>
      <c r="U27" s="19" t="n"/>
    </row>
    <row r="28" ht="27.9" customHeight="1">
      <c r="A28" s="280" t="n"/>
      <c r="B28" s="188" t="inlineStr">
        <is>
          <t>区域客户服务系统-燕宝基金会对接通信信道</t>
        </is>
      </c>
      <c r="C28" s="176" t="inlineStr">
        <is>
          <t>适用</t>
        </is>
      </c>
      <c r="D28" s="183" t="inlineStr">
        <is>
          <t>×</t>
        </is>
      </c>
      <c r="E28" s="183" t="inlineStr">
        <is>
          <t>/</t>
        </is>
      </c>
      <c r="F28" s="183" t="inlineStr">
        <is>
          <t>/</t>
        </is>
      </c>
      <c r="G28" s="176" t="n">
        <v>1</v>
      </c>
      <c r="H28" s="176" t="n">
        <v>1</v>
      </c>
      <c r="I28" s="198">
        <f>IF(C28="不适用","N/A",IF(D28&lt;&gt;"√",0,IF((E28="√")*AND(F28="√"),1,IF((E28&lt;&gt;"√")*AND(F28="√"),0.5*G28,IF((E28="√")*AND(F28&lt;&gt;"√"),0.5*H28,IF((E28&lt;&gt;"√")*AND(F28&lt;&gt;"√"),0.25*G28*H28))))))</f>
        <v/>
      </c>
      <c r="J28" s="198">
        <f>IF(I28="N/A","不适用",IF(I28=1,"符合",IF(I28=0,"不符合","部分符合")))</f>
        <v/>
      </c>
      <c r="K28" s="235" t="n"/>
      <c r="L28" s="235" t="n"/>
      <c r="M28" s="235" t="n"/>
      <c r="N28" s="197">
        <f>IF(I28="N/A","N/A",整体测评!O$6/M$5)</f>
        <v/>
      </c>
      <c r="O28" s="202">
        <f>IF(I28="N/A","N/A",I28*N28)</f>
        <v/>
      </c>
      <c r="P28" s="202">
        <f>IF(I28="N/A","N/A",N28-O28)</f>
        <v/>
      </c>
      <c r="Q28" s="15" t="n"/>
      <c r="R28" s="15" t="n"/>
      <c r="S28" s="15" t="n"/>
      <c r="T28" s="15" t="n"/>
      <c r="U28" s="19" t="n"/>
    </row>
    <row r="29" ht="14.6" customHeight="1">
      <c r="A29" s="280" t="n"/>
      <c r="B29" s="188" t="inlineStr">
        <is>
          <t>区域客户服务系统-银保信对接通信信道</t>
        </is>
      </c>
      <c r="C29" s="176" t="inlineStr">
        <is>
          <t>适用</t>
        </is>
      </c>
      <c r="D29" s="183" t="inlineStr">
        <is>
          <t>×</t>
        </is>
      </c>
      <c r="E29" s="183" t="inlineStr">
        <is>
          <t>/</t>
        </is>
      </c>
      <c r="F29" s="183" t="inlineStr">
        <is>
          <t>/</t>
        </is>
      </c>
      <c r="G29" s="176" t="n">
        <v>1</v>
      </c>
      <c r="H29" s="176" t="n">
        <v>1</v>
      </c>
      <c r="I29" s="198">
        <f>IF(C29="不适用","N/A",IF(D29&lt;&gt;"√",0,IF((E29="√")*AND(F29="√"),1,IF((E29&lt;&gt;"√")*AND(F29="√"),0.5*G29,IF((E29="√")*AND(F29&lt;&gt;"√"),0.5*H29,IF((E29&lt;&gt;"√")*AND(F29&lt;&gt;"√"),0.25*G29*H29))))))</f>
        <v/>
      </c>
      <c r="J29" s="198">
        <f>IF(I29="N/A","不适用",IF(I29=1,"符合",IF(I29=0,"不符合","部分符合")))</f>
        <v/>
      </c>
      <c r="K29" s="235" t="n"/>
      <c r="L29" s="235" t="n"/>
      <c r="M29" s="235" t="n"/>
      <c r="N29" s="197">
        <f>IF(I29="N/A","N/A",整体测评!O$6/M$5)</f>
        <v/>
      </c>
      <c r="O29" s="202">
        <f>IF(I29="N/A","N/A",I29*N29)</f>
        <v/>
      </c>
      <c r="P29" s="202">
        <f>IF(I29="N/A","N/A",N29-O29)</f>
        <v/>
      </c>
      <c r="Q29" s="15" t="n"/>
      <c r="R29" s="15" t="n"/>
      <c r="S29" s="15" t="n"/>
      <c r="T29" s="15" t="n"/>
      <c r="U29" s="19" t="n"/>
    </row>
    <row r="30" ht="14.6" customHeight="1">
      <c r="A30" s="280" t="n"/>
      <c r="B30" s="188" t="inlineStr">
        <is>
          <t>区域客户服务系统-金惠对接通信信道</t>
        </is>
      </c>
      <c r="C30" s="176" t="inlineStr">
        <is>
          <t>适用</t>
        </is>
      </c>
      <c r="D30" s="183" t="inlineStr">
        <is>
          <t>×</t>
        </is>
      </c>
      <c r="E30" s="183" t="inlineStr">
        <is>
          <t>/</t>
        </is>
      </c>
      <c r="F30" s="183" t="inlineStr">
        <is>
          <t>/</t>
        </is>
      </c>
      <c r="G30" s="176" t="n">
        <v>1</v>
      </c>
      <c r="H30" s="176" t="n">
        <v>1</v>
      </c>
      <c r="I30" s="198">
        <f>IF(C30="不适用","N/A",IF(D30&lt;&gt;"√",0,IF((E30="√")*AND(F30="√"),1,IF((E30&lt;&gt;"√")*AND(F30="√"),0.5*G30,IF((E30="√")*AND(F30&lt;&gt;"√"),0.5*H30,IF((E30&lt;&gt;"√")*AND(F30&lt;&gt;"√"),0.25*G30*H30))))))</f>
        <v/>
      </c>
      <c r="J30" s="198">
        <f>IF(I30="N/A","不适用",IF(I30=1,"符合",IF(I30=0,"不符合","部分符合")))</f>
        <v/>
      </c>
      <c r="K30" s="235" t="n"/>
      <c r="L30" s="235" t="n"/>
      <c r="M30" s="235" t="n"/>
      <c r="N30" s="197">
        <f>IF(I30="N/A","N/A",整体测评!O$6/M$5)</f>
        <v/>
      </c>
      <c r="O30" s="202">
        <f>IF(I30="N/A","N/A",I30*N30)</f>
        <v/>
      </c>
      <c r="P30" s="202">
        <f>IF(I30="N/A","N/A",N30-O30)</f>
        <v/>
      </c>
      <c r="Q30" s="15" t="n"/>
      <c r="R30" s="15" t="n"/>
      <c r="S30" s="15" t="n"/>
      <c r="T30" s="15" t="n"/>
      <c r="U30" s="19" t="n"/>
    </row>
    <row r="31" ht="27.9" customHeight="1">
      <c r="A31" s="280" t="n"/>
      <c r="B31" s="188" t="inlineStr">
        <is>
          <t>区域客户服务系统-对接人行账户管控通信信道</t>
        </is>
      </c>
      <c r="C31" s="176" t="inlineStr">
        <is>
          <t>适用</t>
        </is>
      </c>
      <c r="D31" s="183" t="inlineStr">
        <is>
          <t>×</t>
        </is>
      </c>
      <c r="E31" s="183" t="inlineStr">
        <is>
          <t>/</t>
        </is>
      </c>
      <c r="F31" s="183" t="inlineStr">
        <is>
          <t>/</t>
        </is>
      </c>
      <c r="G31" s="176" t="n">
        <v>1</v>
      </c>
      <c r="H31" s="176" t="n">
        <v>1</v>
      </c>
      <c r="I31" s="198">
        <f>IF(C31="不适用","N/A",IF(D31&lt;&gt;"√",0,IF((E31="√")*AND(F31="√"),1,IF((E31&lt;&gt;"√")*AND(F31="√"),0.5*G31,IF((E31="√")*AND(F31&lt;&gt;"√"),0.5*H31,IF((E31&lt;&gt;"√")*AND(F31&lt;&gt;"√"),0.25*G31*H31))))))</f>
        <v/>
      </c>
      <c r="J31" s="198">
        <f>IF(I31="N/A","不适用",IF(I31=1,"符合",IF(I31=0,"不符合","部分符合")))</f>
        <v/>
      </c>
      <c r="K31" s="235" t="n"/>
      <c r="L31" s="235" t="n"/>
      <c r="M31" s="235" t="n"/>
      <c r="N31" s="197">
        <f>IF(I31="N/A","N/A",整体测评!O$6/M$5)</f>
        <v/>
      </c>
      <c r="O31" s="202">
        <f>IF(I31="N/A","N/A",I31*N31)</f>
        <v/>
      </c>
      <c r="P31" s="202">
        <f>IF(I31="N/A","N/A",N31-O31)</f>
        <v/>
      </c>
      <c r="Q31" s="15" t="n"/>
      <c r="R31" s="15" t="n"/>
      <c r="S31" s="15" t="n"/>
      <c r="T31" s="15" t="n"/>
      <c r="U31" s="19" t="n"/>
    </row>
    <row r="32" ht="14.6" customHeight="1">
      <c r="A32" s="280" t="n"/>
      <c r="B32" s="188" t="inlineStr">
        <is>
          <t>区域客户服务系统-慧聚宁夏小程序通道</t>
        </is>
      </c>
      <c r="C32" s="176" t="inlineStr">
        <is>
          <t>适用</t>
        </is>
      </c>
      <c r="D32" s="183" t="inlineStr">
        <is>
          <t>√</t>
        </is>
      </c>
      <c r="E32" s="183" t="inlineStr">
        <is>
          <t>×</t>
        </is>
      </c>
      <c r="F32" s="183" t="inlineStr">
        <is>
          <t>×</t>
        </is>
      </c>
      <c r="G32" s="176" t="n">
        <v>1</v>
      </c>
      <c r="H32" s="176" t="n">
        <v>1</v>
      </c>
      <c r="I32" s="198">
        <f>IF(C32="不适用","N/A",IF(D32&lt;&gt;"√",0,IF((E32="√")*AND(F32="√"),1,IF((E32&lt;&gt;"√")*AND(F32="√"),0.5*G32,IF((E32="√")*AND(F32&lt;&gt;"√"),0.5*H32,IF((E32&lt;&gt;"√")*AND(F32&lt;&gt;"√"),0.25*G32*H32))))))</f>
        <v/>
      </c>
      <c r="J32" s="198">
        <f>IF(I32="N/A","不适用",IF(I32=1,"符合",IF(I32=0,"不符合","部分符合")))</f>
        <v/>
      </c>
      <c r="K32" s="235" t="n"/>
      <c r="L32" s="235" t="n"/>
      <c r="M32" s="235" t="n"/>
      <c r="N32" s="197">
        <f>IF(I32="N/A","N/A",整体测评!O$6/M$5)</f>
        <v/>
      </c>
      <c r="O32" s="202">
        <f>IF(I32="N/A","N/A",I32*N32)</f>
        <v/>
      </c>
      <c r="P32" s="202">
        <f>IF(I32="N/A","N/A",N32-O32)</f>
        <v/>
      </c>
      <c r="Q32" s="15" t="n"/>
      <c r="R32" s="15" t="n"/>
      <c r="S32" s="15" t="n"/>
      <c r="T32" s="15" t="n"/>
      <c r="U32" s="19" t="n"/>
    </row>
    <row r="33" ht="14.6" customHeight="1">
      <c r="A33" s="280" t="n"/>
      <c r="B33" s="188" t="inlineStr">
        <is>
          <t>穿山甲平台P5通信信道</t>
        </is>
      </c>
      <c r="C33" s="176" t="inlineStr">
        <is>
          <t>适用</t>
        </is>
      </c>
      <c r="D33" s="183" t="inlineStr">
        <is>
          <t>×</t>
        </is>
      </c>
      <c r="E33" s="183" t="inlineStr">
        <is>
          <t>/</t>
        </is>
      </c>
      <c r="F33" s="183" t="inlineStr">
        <is>
          <t>/</t>
        </is>
      </c>
      <c r="G33" s="176" t="n">
        <v>1</v>
      </c>
      <c r="H33" s="176" t="n">
        <v>1</v>
      </c>
      <c r="I33" s="198">
        <f>IF(C33="不适用","N/A",IF(D33&lt;&gt;"√",0,IF((E33="√")*AND(F33="√"),1,IF((E33&lt;&gt;"√")*AND(F33="√"),0.5*G33,IF((E33="√")*AND(F33&lt;&gt;"√"),0.5*H33,IF((E33&lt;&gt;"√")*AND(F33&lt;&gt;"√"),0.25*G33*H33))))))</f>
        <v/>
      </c>
      <c r="J33" s="198">
        <f>IF(I33="N/A","不适用",IF(I33=1,"符合",IF(I33=0,"不符合","部分符合")))</f>
        <v/>
      </c>
      <c r="K33" s="235" t="n"/>
      <c r="L33" s="235" t="n"/>
      <c r="M33" s="235" t="n"/>
      <c r="N33" s="197">
        <f>IF(I33="N/A","N/A",整体测评!O$6/M$5)</f>
        <v/>
      </c>
      <c r="O33" s="202">
        <f>IF(I33="N/A","N/A",I33*N33)</f>
        <v/>
      </c>
      <c r="P33" s="202">
        <f>IF(I33="N/A","N/A",N33-O33)</f>
        <v/>
      </c>
      <c r="Q33" s="15" t="n"/>
      <c r="R33" s="15" t="n"/>
      <c r="S33" s="15" t="n"/>
      <c r="T33" s="15" t="n"/>
      <c r="U33" s="19" t="n"/>
    </row>
    <row r="34" ht="14.6" customHeight="1">
      <c r="A34" s="280" t="n"/>
      <c r="B34" s="188" t="inlineStr">
        <is>
          <t>外部数据管理系统-建业贷P8通信信道</t>
        </is>
      </c>
      <c r="C34" s="176" t="inlineStr">
        <is>
          <t>适用</t>
        </is>
      </c>
      <c r="D34" s="183" t="inlineStr">
        <is>
          <t>×</t>
        </is>
      </c>
      <c r="E34" s="183" t="inlineStr">
        <is>
          <t>/</t>
        </is>
      </c>
      <c r="F34" s="183" t="inlineStr">
        <is>
          <t>/</t>
        </is>
      </c>
      <c r="G34" s="176" t="n">
        <v>1</v>
      </c>
      <c r="H34" s="176" t="n">
        <v>1</v>
      </c>
      <c r="I34" s="198">
        <f>IF(C34="不适用","N/A",IF(D34&lt;&gt;"√",0,IF((E34="√")*AND(F34="√"),1,IF((E34&lt;&gt;"√")*AND(F34="√"),0.5*G34,IF((E34="√")*AND(F34&lt;&gt;"√"),0.5*H34,IF((E34&lt;&gt;"√")*AND(F34&lt;&gt;"√"),0.25*G34*H34))))))</f>
        <v/>
      </c>
      <c r="J34" s="198">
        <f>IF(I34="N/A","不适用",IF(I34=1,"符合",IF(I34=0,"不符合","部分符合")))</f>
        <v/>
      </c>
      <c r="K34" s="235" t="n"/>
      <c r="L34" s="235" t="n"/>
      <c r="M34" s="235" t="n"/>
      <c r="N34" s="197">
        <f>IF(I34="N/A","N/A",整体测评!O$6/M$5)</f>
        <v/>
      </c>
      <c r="O34" s="202">
        <f>IF(I34="N/A","N/A",I34*N34)</f>
        <v/>
      </c>
      <c r="P34" s="202">
        <f>IF(I34="N/A","N/A",N34-O34)</f>
        <v/>
      </c>
      <c r="Q34" s="15" t="n"/>
      <c r="R34" s="15" t="n"/>
      <c r="S34" s="15" t="n"/>
      <c r="T34" s="15" t="n"/>
      <c r="U34" s="19" t="n"/>
    </row>
    <row r="35" ht="14.6" customHeight="1">
      <c r="A35" s="280" t="n"/>
      <c r="B35" s="188" t="inlineStr">
        <is>
          <t>智慧社保系统-对接人社局通信信道</t>
        </is>
      </c>
      <c r="C35" s="176" t="inlineStr">
        <is>
          <t>适用</t>
        </is>
      </c>
      <c r="D35" s="183" t="inlineStr">
        <is>
          <t>×</t>
        </is>
      </c>
      <c r="E35" s="183" t="inlineStr">
        <is>
          <t>/</t>
        </is>
      </c>
      <c r="F35" s="183" t="inlineStr">
        <is>
          <t>/</t>
        </is>
      </c>
      <c r="G35" s="176" t="n">
        <v>1</v>
      </c>
      <c r="H35" s="176" t="n">
        <v>1</v>
      </c>
      <c r="I35" s="198">
        <f>IF(C35="不适用","N/A",IF(D35&lt;&gt;"√",0,IF((E35="√")*AND(F35="√"),1,IF((E35&lt;&gt;"√")*AND(F35="√"),0.5*G35,IF((E35="√")*AND(F35&lt;&gt;"√"),0.5*H35,IF((E35&lt;&gt;"√")*AND(F35&lt;&gt;"√"),0.25*G35*H35))))))</f>
        <v/>
      </c>
      <c r="J35" s="198">
        <f>IF(I35="N/A","不适用",IF(I35=1,"符合",IF(I35=0,"不符合","部分符合")))</f>
        <v/>
      </c>
      <c r="K35" s="235" t="n"/>
      <c r="L35" s="235" t="n"/>
      <c r="M35" s="235" t="n"/>
      <c r="N35" s="197">
        <f>IF(I35="N/A","N/A",整体测评!O$6/M$5)</f>
        <v/>
      </c>
      <c r="O35" s="202">
        <f>IF(I35="N/A","N/A",I35*N35)</f>
        <v/>
      </c>
      <c r="P35" s="202">
        <f>IF(I35="N/A","N/A",N35-O35)</f>
        <v/>
      </c>
      <c r="Q35" s="15" t="n"/>
      <c r="R35" s="15" t="n"/>
      <c r="S35" s="15" t="n"/>
      <c r="T35" s="15" t="n"/>
      <c r="U35" s="19" t="n"/>
    </row>
    <row r="36" ht="14.6" customHeight="1">
      <c r="A36" s="280" t="n"/>
      <c r="B36" s="188" t="inlineStr">
        <is>
          <t>智慧社保系统-对接医保局通信信道</t>
        </is>
      </c>
      <c r="C36" s="176" t="inlineStr">
        <is>
          <t>适用</t>
        </is>
      </c>
      <c r="D36" s="183" t="inlineStr">
        <is>
          <t>×</t>
        </is>
      </c>
      <c r="E36" s="183" t="inlineStr">
        <is>
          <t>/</t>
        </is>
      </c>
      <c r="F36" s="183" t="inlineStr">
        <is>
          <t>/</t>
        </is>
      </c>
      <c r="G36" s="176" t="n">
        <v>1</v>
      </c>
      <c r="H36" s="176" t="n">
        <v>1</v>
      </c>
      <c r="I36" s="198">
        <f>IF(C36="不适用","N/A",IF(D36&lt;&gt;"√",0,IF((E36="√")*AND(F36="√"),1,IF((E36&lt;&gt;"√")*AND(F36="√"),0.5*G36,IF((E36="√")*AND(F36&lt;&gt;"√"),0.5*H36,IF((E36&lt;&gt;"√")*AND(F36&lt;&gt;"√"),0.25*G36*H36))))))</f>
        <v/>
      </c>
      <c r="J36" s="198">
        <f>IF(I36="N/A","不适用",IF(I36=1,"符合",IF(I36=0,"不符合","部分符合")))</f>
        <v/>
      </c>
      <c r="K36" s="235" t="n"/>
      <c r="L36" s="235" t="n"/>
      <c r="M36" s="235" t="n"/>
      <c r="N36" s="197">
        <f>IF(I36="N/A","N/A",整体测评!O$6/M$5)</f>
        <v/>
      </c>
      <c r="O36" s="202">
        <f>IF(I36="N/A","N/A",I36*N36)</f>
        <v/>
      </c>
      <c r="P36" s="202">
        <f>IF(I36="N/A","N/A",N36-O36)</f>
        <v/>
      </c>
      <c r="Q36" s="158" t="n"/>
      <c r="R36" s="158" t="n"/>
      <c r="S36" s="158" t="n"/>
      <c r="T36" s="158" t="n"/>
      <c r="U36" s="19" t="n"/>
    </row>
    <row r="37" ht="14.6" customHeight="1">
      <c r="A37" s="280" t="n"/>
      <c r="B37" s="203" t="inlineStr">
        <is>
          <t>员工渠道系统通信信道</t>
        </is>
      </c>
      <c r="C37" s="176" t="inlineStr">
        <is>
          <t>适用</t>
        </is>
      </c>
      <c r="D37" s="183" t="inlineStr">
        <is>
          <t>×</t>
        </is>
      </c>
      <c r="E37" s="183" t="inlineStr">
        <is>
          <t>/</t>
        </is>
      </c>
      <c r="F37" s="183" t="inlineStr">
        <is>
          <t>/</t>
        </is>
      </c>
      <c r="G37" s="176" t="n">
        <v>1</v>
      </c>
      <c r="H37" s="176" t="n">
        <v>1</v>
      </c>
      <c r="I37" s="198">
        <f>IF(C37="不适用","N/A",IF(D37&lt;&gt;"√",0,IF((E37="√")*AND(F37="√"),1,IF((E37&lt;&gt;"√")*AND(F37="√"),0.5*G37,IF((E37="√")*AND(F37&lt;&gt;"√"),0.5*H37,IF((E37&lt;&gt;"√")*AND(F37&lt;&gt;"√"),0.25*G37*H37))))))</f>
        <v/>
      </c>
      <c r="J37" s="198">
        <f>IF(I37="N/A","不适用",IF(I37=1,"符合",IF(I37=0,"不符合","部分符合")))</f>
        <v/>
      </c>
      <c r="K37" s="235" t="n"/>
      <c r="L37" s="235" t="n"/>
      <c r="M37" s="235" t="n"/>
      <c r="N37" s="197">
        <f>IF(I37="N/A","N/A",整体测评!O$6/M$5)</f>
        <v/>
      </c>
      <c r="O37" s="202">
        <f>IF(I37="N/A","N/A",I37*N37)</f>
        <v/>
      </c>
      <c r="P37" s="202">
        <f>IF(I37="N/A","N/A",N37-O37)</f>
        <v/>
      </c>
      <c r="Q37" s="158" t="n"/>
      <c r="R37" s="158" t="n"/>
      <c r="S37" s="158" t="n"/>
      <c r="T37" s="158" t="n"/>
      <c r="U37" s="19" t="n"/>
    </row>
    <row r="38" ht="14.6" customHeight="1">
      <c r="A38" s="278" t="n"/>
      <c r="B38" s="204" t="inlineStr">
        <is>
          <t>勿删</t>
        </is>
      </c>
      <c r="C38" s="182" t="inlineStr">
        <is>
          <t>不适用</t>
        </is>
      </c>
      <c r="D38" s="183" t="inlineStr">
        <is>
          <t>√</t>
        </is>
      </c>
      <c r="E38" s="183" t="inlineStr">
        <is>
          <t>√</t>
        </is>
      </c>
      <c r="F38" s="183" t="inlineStr">
        <is>
          <t>√</t>
        </is>
      </c>
      <c r="G38" s="183" t="n">
        <v>1</v>
      </c>
      <c r="H38" s="183" t="n">
        <v>1</v>
      </c>
      <c r="I38" s="205">
        <f>IF(C38="不适用","N/A",IF(D38&lt;&gt;"√",0,IF((E38="√")*AND(F38="√"),1,IF((E38&lt;&gt;"√")*AND(F38="√"),0.5*G38,IF((E38="√")*AND(F38&lt;&gt;"√"),0.5*H38,IF((E38&lt;&gt;"√")*AND(F38&lt;&gt;"√"),0.25*G38*H38))))))</f>
        <v/>
      </c>
      <c r="J38" s="205">
        <f>IF(I38="N/A","不适用",IF(I38=1,"符合",IF(I38=0,"不符合","部分符合")))</f>
        <v/>
      </c>
      <c r="K38" s="229" t="n"/>
      <c r="L38" s="229" t="n"/>
      <c r="M38" s="229" t="n"/>
      <c r="N38" s="197">
        <f>IF(I38="N/A","N/A",整体测评!O$6/M$5)</f>
        <v/>
      </c>
      <c r="O38" s="202">
        <f>IF(I38="N/A","N/A",I38*N38)</f>
        <v/>
      </c>
      <c r="P38" s="202">
        <f>IF(I38="N/A","N/A",N38-O38)</f>
        <v/>
      </c>
    </row>
    <row r="39" ht="14.25" customHeight="1">
      <c r="A39" s="196" t="inlineStr">
        <is>
          <t>通信数据完整性</t>
        </is>
      </c>
      <c r="B39" s="195" t="inlineStr">
        <is>
          <t>智慧缴费系统小程序通道</t>
        </is>
      </c>
      <c r="C39" s="183" t="inlineStr">
        <is>
          <t>适用</t>
        </is>
      </c>
      <c r="D39" s="183" t="inlineStr">
        <is>
          <t>√</t>
        </is>
      </c>
      <c r="E39" s="183" t="inlineStr">
        <is>
          <t>×</t>
        </is>
      </c>
      <c r="F39" s="183" t="inlineStr">
        <is>
          <t>×</t>
        </is>
      </c>
      <c r="G39" s="176" t="n">
        <v>1</v>
      </c>
      <c r="H39" s="176" t="n">
        <v>1</v>
      </c>
      <c r="I39" s="198">
        <f>IF(C39="不适用","N/A",IF(D39&lt;&gt;"√",0,IF((E39="√")*AND(F39="√"),1,IF((E39&lt;&gt;"√")*AND(F39="√"),0.5*G39,IF((E39="√")*AND(F39&lt;&gt;"√"),0.5*H39,IF((E39&lt;&gt;"√")*AND(F39&lt;&gt;"√"),0.25*G39*H39))))))</f>
        <v/>
      </c>
      <c r="J39" s="198">
        <f>IF(I39="N/A","不适用",IF(I39=1,"符合",IF(I39=0,"不符合","部分符合")))</f>
        <v/>
      </c>
      <c r="K39" s="281">
        <f>IF(COUNTIF($I39:$I72,"N/A")=COUNTA($I39:$I72),"N/A",AVERAGE($I39:$I72))</f>
        <v/>
      </c>
      <c r="L39" s="200">
        <f>IF(K39="N/A","不适用",IF(K39=1,"符合",IF(K39=0,"不符合","部分符合")))</f>
        <v/>
      </c>
      <c r="M39" s="205">
        <f>(COUNTA($C39:$C72)-COUNTIF($C39:$C72,"不适用"))</f>
        <v/>
      </c>
      <c r="N39" s="197">
        <f>IF(I39="N/A","N/A",整体测评!O$7/M$39)</f>
        <v/>
      </c>
      <c r="O39" s="202">
        <f>IF(I39="N/A","N/A",I39*N39)</f>
        <v/>
      </c>
      <c r="P39" s="202">
        <f>IF(I39="N/A","N/A",N39-O39)</f>
        <v/>
      </c>
    </row>
    <row r="40" ht="14.25" customHeight="1">
      <c r="A40" s="280" t="n"/>
      <c r="B40" s="188" t="inlineStr">
        <is>
          <t>智慧缴费系统与吴忠供热之间的通道</t>
        </is>
      </c>
      <c r="C40" s="183" t="inlineStr">
        <is>
          <t>适用</t>
        </is>
      </c>
      <c r="D40" s="183" t="inlineStr">
        <is>
          <t>×</t>
        </is>
      </c>
      <c r="E40" s="183" t="inlineStr">
        <is>
          <t>/</t>
        </is>
      </c>
      <c r="F40" s="183" t="inlineStr">
        <is>
          <t>/</t>
        </is>
      </c>
      <c r="G40" s="176" t="n">
        <v>1</v>
      </c>
      <c r="H40" s="176" t="n">
        <v>1</v>
      </c>
      <c r="I40" s="198">
        <f>IF(C40="不适用","N/A",IF(D40&lt;&gt;"√",0,IF((E40="√")*AND(F40="√"),1,IF((E40&lt;&gt;"√")*AND(F40="√"),0.5*G40,IF((E40="√")*AND(F40&lt;&gt;"√"),0.5*H40,IF((E40&lt;&gt;"√")*AND(F40&lt;&gt;"√"),0.25*G40*H40))))))</f>
        <v/>
      </c>
      <c r="J40" s="198">
        <f>IF(I40="N/A","不适用",IF(I40=1,"符合",IF(I40=0,"不符合","部分符合")))</f>
        <v/>
      </c>
      <c r="K40" s="235" t="n"/>
      <c r="L40" s="235" t="n"/>
      <c r="M40" s="235" t="n"/>
      <c r="N40" s="197">
        <f>IF(I40="N/A","N/A",整体测评!O$7/M$39)</f>
        <v/>
      </c>
      <c r="O40" s="202">
        <f>IF(I40="N/A","N/A",I40*N40)</f>
        <v/>
      </c>
      <c r="P40" s="202">
        <f>IF(I40="N/A","N/A",N40-O40)</f>
        <v/>
      </c>
    </row>
    <row r="41" ht="14.25" customHeight="1">
      <c r="A41" s="280" t="n"/>
      <c r="B41" s="188" t="inlineStr">
        <is>
          <t>智慧缴费系统与吴忠水发之间的通道</t>
        </is>
      </c>
      <c r="C41" s="183" t="inlineStr">
        <is>
          <t>适用</t>
        </is>
      </c>
      <c r="D41" s="183" t="inlineStr">
        <is>
          <t>×</t>
        </is>
      </c>
      <c r="E41" s="183" t="inlineStr">
        <is>
          <t>/</t>
        </is>
      </c>
      <c r="F41" s="183" t="inlineStr">
        <is>
          <t>/</t>
        </is>
      </c>
      <c r="G41" s="176" t="n">
        <v>1</v>
      </c>
      <c r="H41" s="176" t="n">
        <v>1</v>
      </c>
      <c r="I41" s="198">
        <f>IF(C41="不适用","N/A",IF(D41&lt;&gt;"√",0,IF((E41="√")*AND(F41="√"),1,IF((E41&lt;&gt;"√")*AND(F41="√"),0.5*G41,IF((E41="√")*AND(F41&lt;&gt;"√"),0.5*H41,IF((E41&lt;&gt;"√")*AND(F41&lt;&gt;"√"),0.25*G41*H41))))))</f>
        <v/>
      </c>
      <c r="J41" s="198">
        <f>IF(I41="N/A","不适用",IF(I41=1,"符合",IF(I41=0,"不符合","部分符合")))</f>
        <v/>
      </c>
      <c r="K41" s="235" t="n"/>
      <c r="L41" s="235" t="n"/>
      <c r="M41" s="235" t="n"/>
      <c r="N41" s="197">
        <f>IF(I41="N/A","N/A",整体测评!O$7/M$39)</f>
        <v/>
      </c>
      <c r="O41" s="202">
        <f>IF(I41="N/A","N/A",I41*N41)</f>
        <v/>
      </c>
      <c r="P41" s="202">
        <f>IF(I41="N/A","N/A",N41-O41)</f>
        <v/>
      </c>
    </row>
    <row r="42" ht="14.25" customHeight="1">
      <c r="A42" s="280" t="n"/>
      <c r="B42" s="188" t="inlineStr">
        <is>
          <t>智慧缴费系统与高速缴费之间的通道</t>
        </is>
      </c>
      <c r="C42" s="183" t="inlineStr">
        <is>
          <t>适用</t>
        </is>
      </c>
      <c r="D42" s="183" t="inlineStr">
        <is>
          <t>×</t>
        </is>
      </c>
      <c r="E42" s="183" t="inlineStr">
        <is>
          <t>/</t>
        </is>
      </c>
      <c r="F42" s="183" t="inlineStr">
        <is>
          <t>/</t>
        </is>
      </c>
      <c r="G42" s="176" t="n">
        <v>1</v>
      </c>
      <c r="H42" s="176" t="n">
        <v>1</v>
      </c>
      <c r="I42" s="198">
        <f>IF(C42="不适用","N/A",IF(D42&lt;&gt;"√",0,IF((E42="√")*AND(F42="√"),1,IF((E42&lt;&gt;"√")*AND(F42="√"),0.5*G42,IF((E42="√")*AND(F42&lt;&gt;"√"),0.5*H42,IF((E42&lt;&gt;"√")*AND(F42&lt;&gt;"√"),0.25*G42*H42))))))</f>
        <v/>
      </c>
      <c r="J42" s="198">
        <f>IF(I42="N/A","不适用",IF(I42=1,"符合",IF(I42=0,"不符合","部分符合")))</f>
        <v/>
      </c>
      <c r="K42" s="235" t="n"/>
      <c r="L42" s="235" t="n"/>
      <c r="M42" s="235" t="n"/>
      <c r="N42" s="197">
        <f>IF(I42="N/A","N/A",整体测评!O$7/M$39)</f>
        <v/>
      </c>
      <c r="O42" s="202">
        <f>IF(I42="N/A","N/A",I42*N42)</f>
        <v/>
      </c>
      <c r="P42" s="202">
        <f>IF(I42="N/A","N/A",N42-O42)</f>
        <v/>
      </c>
    </row>
    <row r="43" ht="14.25" customHeight="1">
      <c r="A43" s="280" t="n"/>
      <c r="B43" s="188" t="inlineStr">
        <is>
          <t>智慧缴费系统与新南燃气之间的通道</t>
        </is>
      </c>
      <c r="C43" s="183" t="inlineStr">
        <is>
          <t>适用</t>
        </is>
      </c>
      <c r="D43" s="183" t="inlineStr">
        <is>
          <t>×</t>
        </is>
      </c>
      <c r="E43" s="183" t="inlineStr">
        <is>
          <t>/</t>
        </is>
      </c>
      <c r="F43" s="183" t="inlineStr">
        <is>
          <t>/</t>
        </is>
      </c>
      <c r="G43" s="176" t="n">
        <v>1</v>
      </c>
      <c r="H43" s="176" t="n">
        <v>1</v>
      </c>
      <c r="I43" s="198">
        <f>IF(C43="不适用","N/A",IF(D43&lt;&gt;"√",0,IF((E43="√")*AND(F43="√"),1,IF((E43&lt;&gt;"√")*AND(F43="√"),0.5*G43,IF((E43="√")*AND(F43&lt;&gt;"√"),0.5*H43,IF((E43&lt;&gt;"√")*AND(F43&lt;&gt;"√"),0.25*G43*H43))))))</f>
        <v/>
      </c>
      <c r="J43" s="198">
        <f>IF(I43="N/A","不适用",IF(I43=1,"符合",IF(I43=0,"不符合","部分符合")))</f>
        <v/>
      </c>
      <c r="K43" s="235" t="n"/>
      <c r="L43" s="235" t="n"/>
      <c r="M43" s="235" t="n"/>
      <c r="N43" s="197">
        <f>IF(I43="N/A","N/A",整体测评!O$7/M$39)</f>
        <v/>
      </c>
      <c r="O43" s="202">
        <f>IF(I43="N/A","N/A",I43*N43)</f>
        <v/>
      </c>
      <c r="P43" s="202">
        <f>IF(I43="N/A","N/A",N43-O43)</f>
        <v/>
      </c>
    </row>
    <row r="44" ht="14.25" customHeight="1">
      <c r="A44" s="280" t="n"/>
      <c r="B44" s="188" t="inlineStr">
        <is>
          <t>PC端访问现金管理系统的通道</t>
        </is>
      </c>
      <c r="C44" s="183" t="inlineStr">
        <is>
          <t>适用</t>
        </is>
      </c>
      <c r="D44" s="183" t="inlineStr">
        <is>
          <t>×</t>
        </is>
      </c>
      <c r="E44" s="183" t="inlineStr">
        <is>
          <t>/</t>
        </is>
      </c>
      <c r="F44" s="183" t="inlineStr">
        <is>
          <t>/</t>
        </is>
      </c>
      <c r="G44" s="176" t="n">
        <v>1</v>
      </c>
      <c r="H44" s="176" t="n">
        <v>1</v>
      </c>
      <c r="I44" s="198">
        <f>IF(C44="不适用","N/A",IF(D44&lt;&gt;"√",0,IF((E44="√")*AND(F44="√"),1,IF((E44&lt;&gt;"√")*AND(F44="√"),0.5*G44,IF((E44="√")*AND(F44&lt;&gt;"√"),0.5*H44,IF((E44&lt;&gt;"√")*AND(F44&lt;&gt;"√"),0.25*G44*H44))))))</f>
        <v/>
      </c>
      <c r="J44" s="198">
        <f>IF(I44="N/A","不适用",IF(I44=1,"符合",IF(I44=0,"不符合","部分符合")))</f>
        <v/>
      </c>
      <c r="K44" s="235" t="n"/>
      <c r="L44" s="235" t="n"/>
      <c r="M44" s="235" t="n"/>
      <c r="N44" s="197">
        <f>IF(I44="N/A","N/A",整体测评!O$7/M$39)</f>
        <v/>
      </c>
      <c r="O44" s="202">
        <f>IF(I44="N/A","N/A",I44*N44)</f>
        <v/>
      </c>
      <c r="P44" s="202">
        <f>IF(I44="N/A","N/A",N44-O44)</f>
        <v/>
      </c>
    </row>
    <row r="45" ht="14.25" customHeight="1">
      <c r="A45" s="280" t="n"/>
      <c r="B45" s="188" t="inlineStr">
        <is>
          <t>现金管理系统与国电之间的通道</t>
        </is>
      </c>
      <c r="C45" s="183" t="inlineStr">
        <is>
          <t>适用</t>
        </is>
      </c>
      <c r="D45" s="183" t="inlineStr">
        <is>
          <t>×</t>
        </is>
      </c>
      <c r="E45" s="183" t="inlineStr">
        <is>
          <t>/</t>
        </is>
      </c>
      <c r="F45" s="183" t="inlineStr">
        <is>
          <t>/</t>
        </is>
      </c>
      <c r="G45" s="176" t="n">
        <v>1</v>
      </c>
      <c r="H45" s="176" t="n">
        <v>1</v>
      </c>
      <c r="I45" s="198">
        <f>IF(C45="不适用","N/A",IF(D45&lt;&gt;"√",0,IF((E45="√")*AND(F45="√"),1,IF((E45&lt;&gt;"√")*AND(F45="√"),0.5*G45,IF((E45="√")*AND(F45&lt;&gt;"√"),0.5*H45,IF((E45&lt;&gt;"√")*AND(F45&lt;&gt;"√"),0.25*G45*H45))))))</f>
        <v/>
      </c>
      <c r="J45" s="198">
        <f>IF(I45="N/A","不适用",IF(I45=1,"符合",IF(I45=0,"不符合","部分符合")))</f>
        <v/>
      </c>
      <c r="K45" s="235" t="n"/>
      <c r="L45" s="235" t="n"/>
      <c r="M45" s="235" t="n"/>
      <c r="N45" s="197">
        <f>IF(I45="N/A","N/A",整体测评!O$7/M$39)</f>
        <v/>
      </c>
      <c r="O45" s="202">
        <f>IF(I45="N/A","N/A",I45*N45)</f>
        <v/>
      </c>
      <c r="P45" s="202">
        <f>IF(I45="N/A","N/A",N45-O45)</f>
        <v/>
      </c>
    </row>
    <row r="46" ht="14.25" customHeight="1">
      <c r="A46" s="280" t="n"/>
      <c r="B46" s="188" t="inlineStr">
        <is>
          <t>现金管理系统与监狱管理局之间的通道</t>
        </is>
      </c>
      <c r="C46" s="183" t="inlineStr">
        <is>
          <t>适用</t>
        </is>
      </c>
      <c r="D46" s="183" t="inlineStr">
        <is>
          <t>×</t>
        </is>
      </c>
      <c r="E46" s="183" t="inlineStr">
        <is>
          <t>/</t>
        </is>
      </c>
      <c r="F46" s="183" t="inlineStr">
        <is>
          <t>/</t>
        </is>
      </c>
      <c r="G46" s="176" t="n">
        <v>1</v>
      </c>
      <c r="H46" s="176" t="n">
        <v>1</v>
      </c>
      <c r="I46" s="198">
        <f>IF(C46="不适用","N/A",IF(D46&lt;&gt;"√",0,IF((E46="√")*AND(F46="√"),1,IF((E46&lt;&gt;"√")*AND(F46="√"),0.5*G46,IF((E46="√")*AND(F46&lt;&gt;"√"),0.5*H46,IF((E46&lt;&gt;"√")*AND(F46&lt;&gt;"√"),0.25*G46*H46))))))</f>
        <v/>
      </c>
      <c r="J46" s="198">
        <f>IF(I46="N/A","不适用",IF(I46=1,"符合",IF(I46=0,"不符合","部分符合")))</f>
        <v/>
      </c>
      <c r="K46" s="235" t="n"/>
      <c r="L46" s="235" t="n"/>
      <c r="M46" s="235" t="n"/>
      <c r="N46" s="197">
        <f>IF(I46="N/A","N/A",整体测评!O$7/M$39)</f>
        <v/>
      </c>
      <c r="O46" s="202">
        <f>IF(I46="N/A","N/A",I46*N46)</f>
        <v/>
      </c>
      <c r="P46" s="202">
        <f>IF(I46="N/A","N/A",N46-O46)</f>
        <v/>
      </c>
    </row>
    <row r="47" ht="14.25" customHeight="1">
      <c r="A47" s="280" t="n"/>
      <c r="B47" s="188" t="inlineStr">
        <is>
          <t>现金管理系统与烟草之间的通道</t>
        </is>
      </c>
      <c r="C47" s="183" t="inlineStr">
        <is>
          <t>适用</t>
        </is>
      </c>
      <c r="D47" s="183" t="inlineStr">
        <is>
          <t>×</t>
        </is>
      </c>
      <c r="E47" s="183" t="inlineStr">
        <is>
          <t>/</t>
        </is>
      </c>
      <c r="F47" s="183" t="inlineStr">
        <is>
          <t>/</t>
        </is>
      </c>
      <c r="G47" s="176" t="n">
        <v>1</v>
      </c>
      <c r="H47" s="176" t="n">
        <v>1</v>
      </c>
      <c r="I47" s="198">
        <f>IF(C47="不适用","N/A",IF(D47&lt;&gt;"√",0,IF((E47="√")*AND(F47="√"),1,IF((E47&lt;&gt;"√")*AND(F47="√"),0.5*G47,IF((E47="√")*AND(F47&lt;&gt;"√"),0.5*H47,IF((E47&lt;&gt;"√")*AND(F47&lt;&gt;"√"),0.25*G47*H47))))))</f>
        <v/>
      </c>
      <c r="J47" s="198">
        <f>IF(I47="N/A","不适用",IF(I47=1,"符合",IF(I47=0,"不符合","部分符合")))</f>
        <v/>
      </c>
      <c r="K47" s="235" t="n"/>
      <c r="L47" s="235" t="n"/>
      <c r="M47" s="235" t="n"/>
      <c r="N47" s="197">
        <f>IF(I47="N/A","N/A",整体测评!O$7/M$39)</f>
        <v/>
      </c>
      <c r="O47" s="202">
        <f>IF(I47="N/A","N/A",I47*N47)</f>
        <v/>
      </c>
      <c r="P47" s="202">
        <f>IF(I47="N/A","N/A",N47-O47)</f>
        <v/>
      </c>
    </row>
    <row r="48" ht="14.25" customHeight="1">
      <c r="A48" s="280" t="n"/>
      <c r="B48" s="188" t="inlineStr">
        <is>
          <t>现金管理系统与预售房之间的通道</t>
        </is>
      </c>
      <c r="C48" s="183" t="inlineStr">
        <is>
          <t>适用</t>
        </is>
      </c>
      <c r="D48" s="183" t="inlineStr">
        <is>
          <t>×</t>
        </is>
      </c>
      <c r="E48" s="183" t="inlineStr">
        <is>
          <t>/</t>
        </is>
      </c>
      <c r="F48" s="183" t="inlineStr">
        <is>
          <t>/</t>
        </is>
      </c>
      <c r="G48" s="176" t="n">
        <v>1</v>
      </c>
      <c r="H48" s="176" t="n">
        <v>1</v>
      </c>
      <c r="I48" s="198">
        <f>IF(C48="不适用","N/A",IF(D48&lt;&gt;"√",0,IF((E48="√")*AND(F48="√"),1,IF((E48&lt;&gt;"√")*AND(F48="√"),0.5*G48,IF((E48="√")*AND(F48&lt;&gt;"√"),0.5*H48,IF((E48&lt;&gt;"√")*AND(F48&lt;&gt;"√"),0.25*G48*H48))))))</f>
        <v/>
      </c>
      <c r="J48" s="198">
        <f>IF(I48="N/A","不适用",IF(I48=1,"符合",IF(I48=0,"不符合","部分符合")))</f>
        <v/>
      </c>
      <c r="K48" s="235" t="n"/>
      <c r="L48" s="235" t="n"/>
      <c r="M48" s="235" t="n"/>
      <c r="N48" s="197">
        <f>IF(I48="N/A","N/A",整体测评!O$7/M$39)</f>
        <v/>
      </c>
      <c r="O48" s="202">
        <f>IF(I48="N/A","N/A",I48*N48)</f>
        <v/>
      </c>
      <c r="P48" s="202">
        <f>IF(I48="N/A","N/A",N48-O48)</f>
        <v/>
      </c>
    </row>
    <row r="49" ht="14.25" customHeight="1">
      <c r="A49" s="280" t="n"/>
      <c r="B49" s="188" t="inlineStr">
        <is>
          <t>新一代电子不停车收费系统与公路局之间的通道</t>
        </is>
      </c>
      <c r="C49" s="183" t="inlineStr">
        <is>
          <t>适用</t>
        </is>
      </c>
      <c r="D49" s="183" t="inlineStr">
        <is>
          <t>×</t>
        </is>
      </c>
      <c r="E49" s="183" t="inlineStr">
        <is>
          <t>/</t>
        </is>
      </c>
      <c r="F49" s="183" t="inlineStr">
        <is>
          <t>/</t>
        </is>
      </c>
      <c r="G49" s="176" t="n">
        <v>1</v>
      </c>
      <c r="H49" s="176" t="n">
        <v>1</v>
      </c>
      <c r="I49" s="198">
        <f>IF(C49="不适用","N/A",IF(D49&lt;&gt;"√",0,IF((E49="√")*AND(F49="√"),1,IF((E49&lt;&gt;"√")*AND(F49="√"),0.5*G49,IF((E49="√")*AND(F49&lt;&gt;"√"),0.5*H49,IF((E49&lt;&gt;"√")*AND(F49&lt;&gt;"√"),0.25*G49*H49))))))</f>
        <v/>
      </c>
      <c r="J49" s="198">
        <f>IF(I49="N/A","不适用",IF(I49=1,"符合",IF(I49=0,"不符合","部分符合")))</f>
        <v/>
      </c>
      <c r="K49" s="235" t="n"/>
      <c r="L49" s="235" t="n"/>
      <c r="M49" s="235" t="n"/>
      <c r="N49" s="197">
        <f>IF(I49="N/A","N/A",整体测评!O$7/M$39)</f>
        <v/>
      </c>
      <c r="O49" s="202">
        <f>IF(I49="N/A","N/A",I49*N49)</f>
        <v/>
      </c>
      <c r="P49" s="202">
        <f>IF(I49="N/A","N/A",N49-O49)</f>
        <v/>
      </c>
    </row>
    <row r="50" ht="14.25" customHeight="1">
      <c r="A50" s="280" t="n"/>
      <c r="B50" s="188" t="inlineStr">
        <is>
          <t>代收付系统与医保厅之间的通道</t>
        </is>
      </c>
      <c r="C50" s="183" t="inlineStr">
        <is>
          <t>适用</t>
        </is>
      </c>
      <c r="D50" s="183" t="inlineStr">
        <is>
          <t>×</t>
        </is>
      </c>
      <c r="E50" s="183" t="inlineStr">
        <is>
          <t>/</t>
        </is>
      </c>
      <c r="F50" s="183" t="inlineStr">
        <is>
          <t>/</t>
        </is>
      </c>
      <c r="G50" s="176" t="n">
        <v>1</v>
      </c>
      <c r="H50" s="176" t="n">
        <v>1</v>
      </c>
      <c r="I50" s="198">
        <f>IF(C50="不适用","N/A",IF(D50&lt;&gt;"√",0,IF((E50="√")*AND(F50="√"),1,IF((E50&lt;&gt;"√")*AND(F50="√"),0.5*G50,IF((E50="√")*AND(F50&lt;&gt;"√"),0.5*H50,IF((E50&lt;&gt;"√")*AND(F50&lt;&gt;"√"),0.25*G50*H50))))))</f>
        <v/>
      </c>
      <c r="J50" s="198">
        <f>IF(I50="N/A","不适用",IF(I50=1,"符合",IF(I50=0,"不符合","部分符合")))</f>
        <v/>
      </c>
      <c r="K50" s="235" t="n"/>
      <c r="L50" s="235" t="n"/>
      <c r="M50" s="235" t="n"/>
      <c r="N50" s="197">
        <f>IF(I50="N/A","N/A",整体测评!O$7/M$39)</f>
        <v/>
      </c>
      <c r="O50" s="202">
        <f>IF(I50="N/A","N/A",I50*N50)</f>
        <v/>
      </c>
      <c r="P50" s="202">
        <f>IF(I50="N/A","N/A",N50-O50)</f>
        <v/>
      </c>
    </row>
    <row r="51" ht="14.25" customHeight="1">
      <c r="A51" s="280" t="n"/>
      <c r="B51" s="188" t="inlineStr">
        <is>
          <t>代收付系统与学校之间的通道</t>
        </is>
      </c>
      <c r="C51" s="183" t="inlineStr">
        <is>
          <t>适用</t>
        </is>
      </c>
      <c r="D51" s="183" t="inlineStr">
        <is>
          <t>×</t>
        </is>
      </c>
      <c r="E51" s="183" t="inlineStr">
        <is>
          <t>/</t>
        </is>
      </c>
      <c r="F51" s="183" t="inlineStr">
        <is>
          <t>/</t>
        </is>
      </c>
      <c r="G51" s="176" t="n">
        <v>1</v>
      </c>
      <c r="H51" s="176" t="n">
        <v>1</v>
      </c>
      <c r="I51" s="198">
        <f>IF(C51="不适用","N/A",IF(D51&lt;&gt;"√",0,IF((E51="√")*AND(F51="√"),1,IF((E51&lt;&gt;"√")*AND(F51="√"),0.5*G51,IF((E51="√")*AND(F51&lt;&gt;"√"),0.5*H51,IF((E51&lt;&gt;"√")*AND(F51&lt;&gt;"√"),0.25*G51*H51))))))</f>
        <v/>
      </c>
      <c r="J51" s="198">
        <f>IF(I51="N/A","不适用",IF(I51=1,"符合",IF(I51=0,"不符合","部分符合")))</f>
        <v/>
      </c>
      <c r="K51" s="235" t="n"/>
      <c r="L51" s="235" t="n"/>
      <c r="M51" s="235" t="n"/>
      <c r="N51" s="197">
        <f>IF(I51="N/A","N/A",整体测评!O$7/M$39)</f>
        <v/>
      </c>
      <c r="O51" s="202">
        <f>IF(I51="N/A","N/A",I51*N51)</f>
        <v/>
      </c>
      <c r="P51" s="202">
        <f>IF(I51="N/A","N/A",N51-O51)</f>
        <v/>
      </c>
    </row>
    <row r="52" ht="30.9" customHeight="1">
      <c r="A52" s="280" t="n"/>
      <c r="B52" s="188" t="inlineStr">
        <is>
          <t>代收付系统与银川市物业服务中心之间的通道</t>
        </is>
      </c>
      <c r="C52" s="183" t="inlineStr">
        <is>
          <t>适用</t>
        </is>
      </c>
      <c r="D52" s="183" t="inlineStr">
        <is>
          <t>×</t>
        </is>
      </c>
      <c r="E52" s="183" t="inlineStr">
        <is>
          <t>/</t>
        </is>
      </c>
      <c r="F52" s="183" t="inlineStr">
        <is>
          <t>/</t>
        </is>
      </c>
      <c r="G52" s="176" t="n">
        <v>1</v>
      </c>
      <c r="H52" s="176" t="n">
        <v>1</v>
      </c>
      <c r="I52" s="198">
        <f>IF(C52="不适用","N/A",IF(D52&lt;&gt;"√",0,IF((E52="√")*AND(F52="√"),1,IF((E52&lt;&gt;"√")*AND(F52="√"),0.5*G52,IF((E52="√")*AND(F52&lt;&gt;"√"),0.5*H52,IF((E52&lt;&gt;"√")*AND(F52&lt;&gt;"√"),0.25*G52*H52))))))</f>
        <v/>
      </c>
      <c r="J52" s="198">
        <f>IF(I52="N/A","不适用",IF(I52=1,"符合",IF(I52=0,"不符合","部分符合")))</f>
        <v/>
      </c>
      <c r="K52" s="235" t="n"/>
      <c r="L52" s="235" t="n"/>
      <c r="M52" s="235" t="n"/>
      <c r="N52" s="197">
        <f>IF(I52="N/A","N/A",整体测评!O$7/M$39)</f>
        <v/>
      </c>
      <c r="O52" s="202">
        <f>IF(I52="N/A","N/A",I52*N52)</f>
        <v/>
      </c>
      <c r="P52" s="202">
        <f>IF(I52="N/A","N/A",N52-O52)</f>
        <v/>
      </c>
    </row>
    <row r="53" ht="27" customHeight="1">
      <c r="A53" s="280" t="n"/>
      <c r="B53" s="188" t="inlineStr">
        <is>
          <t>代收付系统与宁夏自治区财政厅之间的通道</t>
        </is>
      </c>
      <c r="C53" s="183" t="inlineStr">
        <is>
          <t>适用</t>
        </is>
      </c>
      <c r="D53" s="183" t="inlineStr">
        <is>
          <t>×</t>
        </is>
      </c>
      <c r="E53" s="183" t="inlineStr">
        <is>
          <t>/</t>
        </is>
      </c>
      <c r="F53" s="183" t="inlineStr">
        <is>
          <t>/</t>
        </is>
      </c>
      <c r="G53" s="176" t="n">
        <v>1</v>
      </c>
      <c r="H53" s="176" t="n">
        <v>1</v>
      </c>
      <c r="I53" s="198">
        <f>IF(C53="不适用","N/A",IF(D53&lt;&gt;"√",0,IF((E53="√")*AND(F53="√"),1,IF((E53&lt;&gt;"√")*AND(F53="√"),0.5*G53,IF((E53="√")*AND(F53&lt;&gt;"√"),0.5*H53,IF((E53&lt;&gt;"√")*AND(F53&lt;&gt;"√"),0.25*G53*H53))))))</f>
        <v/>
      </c>
      <c r="J53" s="198">
        <f>IF(I53="N/A","不适用",IF(I53=1,"符合",IF(I53=0,"不符合","部分符合")))</f>
        <v/>
      </c>
      <c r="K53" s="235" t="n"/>
      <c r="L53" s="235" t="n"/>
      <c r="M53" s="235" t="n"/>
      <c r="N53" s="197">
        <f>IF(I53="N/A","N/A",整体测评!O$7/M$39)</f>
        <v/>
      </c>
      <c r="O53" s="202">
        <f>IF(I53="N/A","N/A",I53*N53)</f>
        <v/>
      </c>
      <c r="P53" s="202">
        <f>IF(I53="N/A","N/A",N53-O53)</f>
        <v/>
      </c>
    </row>
    <row r="54" ht="22.3" customHeight="1">
      <c r="A54" s="280" t="n"/>
      <c r="B54" s="188" t="inlineStr">
        <is>
          <t>集中管理通道</t>
        </is>
      </c>
      <c r="C54" s="183" t="inlineStr">
        <is>
          <t>适用</t>
        </is>
      </c>
      <c r="D54" s="183" t="inlineStr">
        <is>
          <t>×</t>
        </is>
      </c>
      <c r="E54" s="183" t="inlineStr">
        <is>
          <t>/</t>
        </is>
      </c>
      <c r="F54" s="183" t="inlineStr">
        <is>
          <t>/</t>
        </is>
      </c>
      <c r="G54" s="176" t="n">
        <v>1</v>
      </c>
      <c r="H54" s="176" t="n">
        <v>1</v>
      </c>
      <c r="I54" s="198">
        <f>IF(C54="不适用","N/A",IF(D54&lt;&gt;"√",0,IF((E54="√")*AND(F54="√"),1,IF((E54&lt;&gt;"√")*AND(F54="√"),0.5*G54,IF((E54="√")*AND(F54&lt;&gt;"√"),0.5*H54,IF((E54&lt;&gt;"√")*AND(F54&lt;&gt;"√"),0.25*G54*H54))))))</f>
        <v/>
      </c>
      <c r="J54" s="198">
        <f>IF(I54="N/A","不适用",IF(I54=1,"符合",IF(I54=0,"不符合","部分符合")))</f>
        <v/>
      </c>
      <c r="K54" s="235" t="n"/>
      <c r="L54" s="235" t="n"/>
      <c r="M54" s="235" t="n"/>
      <c r="N54" s="197">
        <f>IF(I54="N/A","N/A",整体测评!O$7/M$39)</f>
        <v/>
      </c>
      <c r="O54" s="202">
        <f>IF(I54="N/A","N/A",I54*N54)</f>
        <v/>
      </c>
      <c r="P54" s="202">
        <f>IF(I54="N/A","N/A",N54-O54)</f>
        <v/>
      </c>
    </row>
    <row r="55" ht="14.25" customHeight="1">
      <c r="A55" s="280" t="n"/>
      <c r="B55" s="188" t="inlineStr">
        <is>
          <t>代理财政集中收付系统前置与财政厅间通道</t>
        </is>
      </c>
      <c r="C55" s="183" t="inlineStr">
        <is>
          <t>适用</t>
        </is>
      </c>
      <c r="D55" s="183" t="inlineStr">
        <is>
          <t>×</t>
        </is>
      </c>
      <c r="E55" s="183" t="inlineStr">
        <is>
          <t>/</t>
        </is>
      </c>
      <c r="F55" s="183" t="inlineStr">
        <is>
          <t>/</t>
        </is>
      </c>
      <c r="G55" s="176" t="n">
        <v>1</v>
      </c>
      <c r="H55" s="176" t="n">
        <v>1</v>
      </c>
      <c r="I55" s="198">
        <f>IF(C55="不适用","N/A",IF(D55&lt;&gt;"√",0,IF((E55="√")*AND(F55="√"),1,IF((E55&lt;&gt;"√")*AND(F55="√"),0.5*G55,IF((E55="√")*AND(F55&lt;&gt;"√"),0.5*H55,IF((E55&lt;&gt;"√")*AND(F55&lt;&gt;"√"),0.25*G55*H55))))))</f>
        <v/>
      </c>
      <c r="J55" s="198">
        <f>IF(I55="N/A","不适用",IF(I55=1,"符合",IF(I55=0,"不符合","部分符合")))</f>
        <v/>
      </c>
      <c r="K55" s="235" t="n"/>
      <c r="L55" s="235" t="n"/>
      <c r="M55" s="235" t="n"/>
      <c r="N55" s="197">
        <f>IF(I55="N/A","N/A",整体测评!O$7/M$39)</f>
        <v/>
      </c>
      <c r="O55" s="202">
        <f>IF(I55="N/A","N/A",I55*N55)</f>
        <v/>
      </c>
      <c r="P55" s="202">
        <f>IF(I55="N/A","N/A",N55-O55)</f>
        <v/>
      </c>
    </row>
    <row r="56" ht="14.25" customHeight="1">
      <c r="A56" s="280" t="n"/>
      <c r="B56" s="188" t="inlineStr">
        <is>
          <t>分行智能管理系统-人行对接通信信道</t>
        </is>
      </c>
      <c r="C56" s="183" t="inlineStr">
        <is>
          <t>适用</t>
        </is>
      </c>
      <c r="D56" s="183" t="inlineStr">
        <is>
          <t>×</t>
        </is>
      </c>
      <c r="E56" s="183" t="inlineStr">
        <is>
          <t>/</t>
        </is>
      </c>
      <c r="F56" s="183" t="inlineStr">
        <is>
          <t>/</t>
        </is>
      </c>
      <c r="G56" s="176" t="n">
        <v>1</v>
      </c>
      <c r="H56" s="176" t="n">
        <v>1</v>
      </c>
      <c r="I56" s="198">
        <f>IF(C56="不适用","N/A",IF(D56&lt;&gt;"√",0,IF((E56="√")*AND(F56="√"),1,IF((E56&lt;&gt;"√")*AND(F56="√"),0.5*G56,IF((E56="√")*AND(F56&lt;&gt;"√"),0.5*H56,IF((E56&lt;&gt;"√")*AND(F56&lt;&gt;"√"),0.25*G56*H56))))))</f>
        <v/>
      </c>
      <c r="J56" s="198">
        <f>IF(I56="N/A","不适用",IF(I56=1,"符合",IF(I56=0,"不符合","部分符合")))</f>
        <v/>
      </c>
      <c r="K56" s="235" t="n"/>
      <c r="L56" s="235" t="n"/>
      <c r="M56" s="235" t="n"/>
      <c r="N56" s="197">
        <f>IF(I56="N/A","N/A",整体测评!O$7/M$39)</f>
        <v/>
      </c>
      <c r="O56" s="202">
        <f>IF(I56="N/A","N/A",I56*N56)</f>
        <v/>
      </c>
      <c r="P56" s="202">
        <f>IF(I56="N/A","N/A",N56-O56)</f>
        <v/>
      </c>
    </row>
    <row r="57" ht="14.25" customHeight="1">
      <c r="A57" s="280" t="n"/>
      <c r="B57" s="188" t="inlineStr">
        <is>
          <t>分行智能管理系统-客户端通信信道</t>
        </is>
      </c>
      <c r="C57" s="183" t="inlineStr">
        <is>
          <t>适用</t>
        </is>
      </c>
      <c r="D57" s="183" t="inlineStr">
        <is>
          <t>×</t>
        </is>
      </c>
      <c r="E57" s="183" t="inlineStr">
        <is>
          <t>/</t>
        </is>
      </c>
      <c r="F57" s="183" t="inlineStr">
        <is>
          <t>/</t>
        </is>
      </c>
      <c r="G57" s="176" t="n">
        <v>1</v>
      </c>
      <c r="H57" s="176" t="n">
        <v>1</v>
      </c>
      <c r="I57" s="198">
        <f>IF(C57="不适用","N/A",IF(D57&lt;&gt;"√",0,IF((E57="√")*AND(F57="√"),1,IF((E57&lt;&gt;"√")*AND(F57="√"),0.5*G57,IF((E57="√")*AND(F57&lt;&gt;"√"),0.5*H57,IF((E57&lt;&gt;"√")*AND(F57&lt;&gt;"√"),0.25*G57*H57))))))</f>
        <v/>
      </c>
      <c r="J57" s="198">
        <f>IF(I57="N/A","不适用",IF(I57=1,"符合",IF(I57=0,"不符合","部分符合")))</f>
        <v/>
      </c>
      <c r="K57" s="235" t="n"/>
      <c r="L57" s="235" t="n"/>
      <c r="M57" s="235" t="n"/>
      <c r="N57" s="197">
        <f>IF(I57="N/A","N/A",整体测评!O$7/M$39)</f>
        <v/>
      </c>
      <c r="O57" s="202">
        <f>IF(I57="N/A","N/A",I57*N57)</f>
        <v/>
      </c>
      <c r="P57" s="202">
        <f>IF(I57="N/A","N/A",N57-O57)</f>
        <v/>
      </c>
    </row>
    <row r="58" ht="14.25" customHeight="1">
      <c r="A58" s="280" t="n"/>
      <c r="B58" s="188" t="inlineStr">
        <is>
          <t>区域客户服务系统-医院对接通信信道</t>
        </is>
      </c>
      <c r="C58" s="183" t="inlineStr">
        <is>
          <t>适用</t>
        </is>
      </c>
      <c r="D58" s="183" t="inlineStr">
        <is>
          <t>×</t>
        </is>
      </c>
      <c r="E58" s="183" t="inlineStr">
        <is>
          <t>/</t>
        </is>
      </c>
      <c r="F58" s="183" t="inlineStr">
        <is>
          <t>/</t>
        </is>
      </c>
      <c r="G58" s="176" t="n">
        <v>1</v>
      </c>
      <c r="H58" s="176" t="n">
        <v>1</v>
      </c>
      <c r="I58" s="198">
        <f>IF(C58="不适用","N/A",IF(D58&lt;&gt;"√",0,IF((E58="√")*AND(F58="√"),1,IF((E58&lt;&gt;"√")*AND(F58="√"),0.5*G58,IF((E58="√")*AND(F58&lt;&gt;"√"),0.5*H58,IF((E58&lt;&gt;"√")*AND(F58&lt;&gt;"√"),0.25*G58*H58))))))</f>
        <v/>
      </c>
      <c r="J58" s="198">
        <f>IF(I58="N/A","不适用",IF(I58=1,"符合",IF(I58=0,"不符合","部分符合")))</f>
        <v/>
      </c>
      <c r="K58" s="235" t="n"/>
      <c r="L58" s="235" t="n"/>
      <c r="M58" s="235" t="n"/>
      <c r="N58" s="197">
        <f>IF(I58="N/A","N/A",整体测评!O$7/M$39)</f>
        <v/>
      </c>
      <c r="O58" s="202">
        <f>IF(I58="N/A","N/A",I58*N58)</f>
        <v/>
      </c>
      <c r="P58" s="202">
        <f>IF(I58="N/A","N/A",N58-O58)</f>
        <v/>
      </c>
    </row>
    <row r="59" ht="14.25" customHeight="1">
      <c r="A59" s="280" t="n"/>
      <c r="B59" s="188" t="inlineStr">
        <is>
          <t>区域客户服务系统-市场监督管理厅通信信道</t>
        </is>
      </c>
      <c r="C59" s="183" t="inlineStr">
        <is>
          <t>适用</t>
        </is>
      </c>
      <c r="D59" s="183" t="inlineStr">
        <is>
          <t>×</t>
        </is>
      </c>
      <c r="E59" s="183" t="inlineStr">
        <is>
          <t>/</t>
        </is>
      </c>
      <c r="F59" s="183" t="inlineStr">
        <is>
          <t>/</t>
        </is>
      </c>
      <c r="G59" s="176" t="n">
        <v>1</v>
      </c>
      <c r="H59" s="176" t="n">
        <v>1</v>
      </c>
      <c r="I59" s="198">
        <f>IF(C59="不适用","N/A",IF(D59&lt;&gt;"√",0,IF((E59="√")*AND(F59="√"),1,IF((E59&lt;&gt;"√")*AND(F59="√"),0.5*G59,IF((E59="√")*AND(F59&lt;&gt;"√"),0.5*H59,IF((E59&lt;&gt;"√")*AND(F59&lt;&gt;"√"),0.25*G59*H59))))))</f>
        <v/>
      </c>
      <c r="J59" s="198">
        <f>IF(I59="N/A","不适用",IF(I59=1,"符合",IF(I59=0,"不符合","部分符合")))</f>
        <v/>
      </c>
      <c r="K59" s="235" t="n"/>
      <c r="L59" s="235" t="n"/>
      <c r="M59" s="235" t="n"/>
      <c r="N59" s="197">
        <f>IF(I59="N/A","N/A",整体测评!O$7/M$39)</f>
        <v/>
      </c>
      <c r="O59" s="202">
        <f>IF(I59="N/A","N/A",I59*N59)</f>
        <v/>
      </c>
      <c r="P59" s="202">
        <f>IF(I59="N/A","N/A",N59-O59)</f>
        <v/>
      </c>
    </row>
    <row r="60" ht="14.25" customHeight="1">
      <c r="A60" s="280" t="n"/>
      <c r="B60" s="188" t="inlineStr">
        <is>
          <t>区域客户服务系统-民政厅对接通信信道</t>
        </is>
      </c>
      <c r="C60" s="183" t="inlineStr">
        <is>
          <t>适用</t>
        </is>
      </c>
      <c r="D60" s="183" t="inlineStr">
        <is>
          <t>×</t>
        </is>
      </c>
      <c r="E60" s="183" t="inlineStr">
        <is>
          <t>/</t>
        </is>
      </c>
      <c r="F60" s="183" t="inlineStr">
        <is>
          <t>/</t>
        </is>
      </c>
      <c r="G60" s="176" t="n">
        <v>1</v>
      </c>
      <c r="H60" s="176" t="n">
        <v>1</v>
      </c>
      <c r="I60" s="198">
        <f>IF(C60="不适用","N/A",IF(D60&lt;&gt;"√",0,IF((E60="√")*AND(F60="√"),1,IF((E60&lt;&gt;"√")*AND(F60="√"),0.5*G60,IF((E60="√")*AND(F60&lt;&gt;"√"),0.5*H60,IF((E60&lt;&gt;"√")*AND(F60&lt;&gt;"√"),0.25*G60*H60))))))</f>
        <v/>
      </c>
      <c r="J60" s="198">
        <f>IF(I60="N/A","不适用",IF(I60=1,"符合",IF(I60=0,"不符合","部分符合")))</f>
        <v/>
      </c>
      <c r="K60" s="235" t="n"/>
      <c r="L60" s="235" t="n"/>
      <c r="M60" s="235" t="n"/>
      <c r="N60" s="197">
        <f>IF(I60="N/A","N/A",整体测评!O$7/M$39)</f>
        <v/>
      </c>
      <c r="O60" s="202">
        <f>IF(I60="N/A","N/A",I60*N60)</f>
        <v/>
      </c>
      <c r="P60" s="202">
        <f>IF(I60="N/A","N/A",N60-O60)</f>
        <v/>
      </c>
    </row>
    <row r="61" ht="14.25" customHeight="1">
      <c r="A61" s="280" t="n"/>
      <c r="B61" s="188" t="inlineStr">
        <is>
          <t>区域客户服务系统-总行对接通信信道</t>
        </is>
      </c>
      <c r="C61" s="183" t="inlineStr">
        <is>
          <t>适用</t>
        </is>
      </c>
      <c r="D61" s="183" t="inlineStr">
        <is>
          <t>√</t>
        </is>
      </c>
      <c r="E61" s="183" t="inlineStr">
        <is>
          <t>×</t>
        </is>
      </c>
      <c r="F61" s="183" t="inlineStr">
        <is>
          <t>×</t>
        </is>
      </c>
      <c r="G61" s="176" t="n">
        <v>1</v>
      </c>
      <c r="H61" s="176" t="n">
        <v>1</v>
      </c>
      <c r="I61" s="198">
        <f>IF(C61="不适用","N/A",IF(D61&lt;&gt;"√",0,IF((E61="√")*AND(F61="√"),1,IF((E61&lt;&gt;"√")*AND(F61="√"),0.5*G61,IF((E61="√")*AND(F61&lt;&gt;"√"),0.5*H61,IF((E61&lt;&gt;"√")*AND(F61&lt;&gt;"√"),0.25*G61*H61))))))</f>
        <v/>
      </c>
      <c r="J61" s="198">
        <f>IF(I61="N/A","不适用",IF(I61=1,"符合",IF(I61=0,"不符合","部分符合")))</f>
        <v/>
      </c>
      <c r="K61" s="235" t="n"/>
      <c r="L61" s="235" t="n"/>
      <c r="M61" s="235" t="n"/>
      <c r="N61" s="197">
        <f>IF(I61="N/A","N/A",整体测评!O$7/M$39)</f>
        <v/>
      </c>
      <c r="O61" s="202">
        <f>IF(I61="N/A","N/A",I61*N61)</f>
        <v/>
      </c>
      <c r="P61" s="202">
        <f>IF(I61="N/A","N/A",N61-O61)</f>
        <v/>
      </c>
    </row>
    <row r="62" ht="14.25" customHeight="1">
      <c r="A62" s="280" t="n"/>
      <c r="B62" s="188" t="inlineStr">
        <is>
          <t>区域客户服务系统-燕宝基金会对接通信信道</t>
        </is>
      </c>
      <c r="C62" s="183" t="inlineStr">
        <is>
          <t>适用</t>
        </is>
      </c>
      <c r="D62" s="183" t="inlineStr">
        <is>
          <t>×</t>
        </is>
      </c>
      <c r="E62" s="183" t="inlineStr">
        <is>
          <t>/</t>
        </is>
      </c>
      <c r="F62" s="183" t="inlineStr">
        <is>
          <t>/</t>
        </is>
      </c>
      <c r="G62" s="176" t="n">
        <v>1</v>
      </c>
      <c r="H62" s="176" t="n">
        <v>1</v>
      </c>
      <c r="I62" s="198">
        <f>IF(C62="不适用","N/A",IF(D62&lt;&gt;"√",0,IF((E62="√")*AND(F62="√"),1,IF((E62&lt;&gt;"√")*AND(F62="√"),0.5*G62,IF((E62="√")*AND(F62&lt;&gt;"√"),0.5*H62,IF((E62&lt;&gt;"√")*AND(F62&lt;&gt;"√"),0.25*G62*H62))))))</f>
        <v/>
      </c>
      <c r="J62" s="198">
        <f>IF(I62="N/A","不适用",IF(I62=1,"符合",IF(I62=0,"不符合","部分符合")))</f>
        <v/>
      </c>
      <c r="K62" s="235" t="n"/>
      <c r="L62" s="235" t="n"/>
      <c r="M62" s="235" t="n"/>
      <c r="N62" s="197">
        <f>IF(I62="N/A","N/A",整体测评!O$7/M$39)</f>
        <v/>
      </c>
      <c r="O62" s="202">
        <f>IF(I62="N/A","N/A",I62*N62)</f>
        <v/>
      </c>
      <c r="P62" s="202">
        <f>IF(I62="N/A","N/A",N62-O62)</f>
        <v/>
      </c>
    </row>
    <row r="63" ht="14.25" customHeight="1">
      <c r="A63" s="280" t="n"/>
      <c r="B63" s="188" t="inlineStr">
        <is>
          <t>区域客户服务系统-银保信对接通信信道</t>
        </is>
      </c>
      <c r="C63" s="183" t="inlineStr">
        <is>
          <t>适用</t>
        </is>
      </c>
      <c r="D63" s="183" t="inlineStr">
        <is>
          <t>×</t>
        </is>
      </c>
      <c r="E63" s="183" t="inlineStr">
        <is>
          <t>/</t>
        </is>
      </c>
      <c r="F63" s="183" t="inlineStr">
        <is>
          <t>/</t>
        </is>
      </c>
      <c r="G63" s="176" t="n">
        <v>1</v>
      </c>
      <c r="H63" s="176" t="n">
        <v>1</v>
      </c>
      <c r="I63" s="198">
        <f>IF(C63="不适用","N/A",IF(D63&lt;&gt;"√",0,IF((E63="√")*AND(F63="√"),1,IF((E63&lt;&gt;"√")*AND(F63="√"),0.5*G63,IF((E63="√")*AND(F63&lt;&gt;"√"),0.5*H63,IF((E63&lt;&gt;"√")*AND(F63&lt;&gt;"√"),0.25*G63*H63))))))</f>
        <v/>
      </c>
      <c r="J63" s="198">
        <f>IF(I63="N/A","不适用",IF(I63=1,"符合",IF(I63=0,"不符合","部分符合")))</f>
        <v/>
      </c>
      <c r="K63" s="235" t="n"/>
      <c r="L63" s="235" t="n"/>
      <c r="M63" s="235" t="n"/>
      <c r="N63" s="197">
        <f>IF(I63="N/A","N/A",整体测评!O$7/M$39)</f>
        <v/>
      </c>
      <c r="O63" s="202">
        <f>IF(I63="N/A","N/A",I63*N63)</f>
        <v/>
      </c>
      <c r="P63" s="202">
        <f>IF(I63="N/A","N/A",N63-O63)</f>
        <v/>
      </c>
    </row>
    <row r="64" ht="14.25" customHeight="1">
      <c r="A64" s="280" t="n"/>
      <c r="B64" s="188" t="inlineStr">
        <is>
          <t>区域客户服务系统-金惠对接通信信道</t>
        </is>
      </c>
      <c r="C64" s="183" t="inlineStr">
        <is>
          <t>适用</t>
        </is>
      </c>
      <c r="D64" s="183" t="inlineStr">
        <is>
          <t>×</t>
        </is>
      </c>
      <c r="E64" s="183" t="inlineStr">
        <is>
          <t>/</t>
        </is>
      </c>
      <c r="F64" s="183" t="inlineStr">
        <is>
          <t>/</t>
        </is>
      </c>
      <c r="G64" s="176" t="n">
        <v>1</v>
      </c>
      <c r="H64" s="176" t="n">
        <v>1</v>
      </c>
      <c r="I64" s="198">
        <f>IF(C64="不适用","N/A",IF(D64&lt;&gt;"√",0,IF((E64="√")*AND(F64="√"),1,IF((E64&lt;&gt;"√")*AND(F64="√"),0.5*G64,IF((E64="√")*AND(F64&lt;&gt;"√"),0.5*H64,IF((E64&lt;&gt;"√")*AND(F64&lt;&gt;"√"),0.25*G64*H64))))))</f>
        <v/>
      </c>
      <c r="J64" s="198">
        <f>IF(I64="N/A","不适用",IF(I64=1,"符合",IF(I64=0,"不符合","部分符合")))</f>
        <v/>
      </c>
      <c r="K64" s="235" t="n"/>
      <c r="L64" s="235" t="n"/>
      <c r="M64" s="235" t="n"/>
      <c r="N64" s="197">
        <f>IF(I64="N/A","N/A",整体测评!O$7/M$39)</f>
        <v/>
      </c>
      <c r="O64" s="202">
        <f>IF(I64="N/A","N/A",I64*N64)</f>
        <v/>
      </c>
      <c r="P64" s="202">
        <f>IF(I64="N/A","N/A",N64-O64)</f>
        <v/>
      </c>
    </row>
    <row r="65" ht="14.25" customHeight="1">
      <c r="A65" s="280" t="n"/>
      <c r="B65" s="188" t="inlineStr">
        <is>
          <t>区域客户服务系统-对接人行账户管控通信信道</t>
        </is>
      </c>
      <c r="C65" s="183" t="inlineStr">
        <is>
          <t>适用</t>
        </is>
      </c>
      <c r="D65" s="183" t="inlineStr">
        <is>
          <t>×</t>
        </is>
      </c>
      <c r="E65" s="183" t="inlineStr">
        <is>
          <t>/</t>
        </is>
      </c>
      <c r="F65" s="183" t="inlineStr">
        <is>
          <t>/</t>
        </is>
      </c>
      <c r="G65" s="176" t="n">
        <v>1</v>
      </c>
      <c r="H65" s="176" t="n">
        <v>1</v>
      </c>
      <c r="I65" s="198">
        <f>IF(C65="不适用","N/A",IF(D65&lt;&gt;"√",0,IF((E65="√")*AND(F65="√"),1,IF((E65&lt;&gt;"√")*AND(F65="√"),0.5*G65,IF((E65="√")*AND(F65&lt;&gt;"√"),0.5*H65,IF((E65&lt;&gt;"√")*AND(F65&lt;&gt;"√"),0.25*G65*H65))))))</f>
        <v/>
      </c>
      <c r="J65" s="198">
        <f>IF(I65="N/A","不适用",IF(I65=1,"符合",IF(I65=0,"不符合","部分符合")))</f>
        <v/>
      </c>
      <c r="K65" s="235" t="n"/>
      <c r="L65" s="235" t="n"/>
      <c r="M65" s="235" t="n"/>
      <c r="N65" s="197">
        <f>IF(I65="N/A","N/A",整体测评!O$7/M$39)</f>
        <v/>
      </c>
      <c r="O65" s="202">
        <f>IF(I65="N/A","N/A",I65*N65)</f>
        <v/>
      </c>
      <c r="P65" s="202">
        <f>IF(I65="N/A","N/A",N65-O65)</f>
        <v/>
      </c>
    </row>
    <row r="66" ht="14.25" customHeight="1">
      <c r="A66" s="280" t="n"/>
      <c r="B66" s="188" t="inlineStr">
        <is>
          <t>区域客户服务系统-慧聚宁夏小程序通道</t>
        </is>
      </c>
      <c r="C66" s="183" t="inlineStr">
        <is>
          <t>适用</t>
        </is>
      </c>
      <c r="D66" s="183" t="inlineStr">
        <is>
          <t>√</t>
        </is>
      </c>
      <c r="E66" s="183" t="inlineStr">
        <is>
          <t>×</t>
        </is>
      </c>
      <c r="F66" s="183" t="inlineStr">
        <is>
          <t>×</t>
        </is>
      </c>
      <c r="G66" s="176" t="n">
        <v>1</v>
      </c>
      <c r="H66" s="176" t="n">
        <v>1</v>
      </c>
      <c r="I66" s="198">
        <f>IF(C66="不适用","N/A",IF(D66&lt;&gt;"√",0,IF((E66="√")*AND(F66="√"),1,IF((E66&lt;&gt;"√")*AND(F66="√"),0.5*G66,IF((E66="√")*AND(F66&lt;&gt;"√"),0.5*H66,IF((E66&lt;&gt;"√")*AND(F66&lt;&gt;"√"),0.25*G66*H66))))))</f>
        <v/>
      </c>
      <c r="J66" s="198">
        <f>IF(I66="N/A","不适用",IF(I66=1,"符合",IF(I66=0,"不符合","部分符合")))</f>
        <v/>
      </c>
      <c r="K66" s="235" t="n"/>
      <c r="L66" s="235" t="n"/>
      <c r="M66" s="235" t="n"/>
      <c r="N66" s="197">
        <f>IF(I66="N/A","N/A",整体测评!O$7/M$39)</f>
        <v/>
      </c>
      <c r="O66" s="202">
        <f>IF(I66="N/A","N/A",I66*N66)</f>
        <v/>
      </c>
      <c r="P66" s="202">
        <f>IF(I66="N/A","N/A",N66-O66)</f>
        <v/>
      </c>
    </row>
    <row r="67" ht="14.25" customHeight="1">
      <c r="A67" s="280" t="n"/>
      <c r="B67" s="188" t="inlineStr">
        <is>
          <t>穿山甲平台P5通信信道</t>
        </is>
      </c>
      <c r="C67" s="183" t="inlineStr">
        <is>
          <t>适用</t>
        </is>
      </c>
      <c r="D67" s="183" t="inlineStr">
        <is>
          <t>×</t>
        </is>
      </c>
      <c r="E67" s="183" t="inlineStr">
        <is>
          <t>/</t>
        </is>
      </c>
      <c r="F67" s="183" t="inlineStr">
        <is>
          <t>/</t>
        </is>
      </c>
      <c r="G67" s="176" t="n">
        <v>1</v>
      </c>
      <c r="H67" s="176" t="n">
        <v>1</v>
      </c>
      <c r="I67" s="198">
        <f>IF(C67="不适用","N/A",IF(D67&lt;&gt;"√",0,IF((E67="√")*AND(F67="√"),1,IF((E67&lt;&gt;"√")*AND(F67="√"),0.5*G67,IF((E67="√")*AND(F67&lt;&gt;"√"),0.5*H67,IF((E67&lt;&gt;"√")*AND(F67&lt;&gt;"√"),0.25*G67*H67))))))</f>
        <v/>
      </c>
      <c r="J67" s="198">
        <f>IF(I67="N/A","不适用",IF(I67=1,"符合",IF(I67=0,"不符合","部分符合")))</f>
        <v/>
      </c>
      <c r="K67" s="235" t="n"/>
      <c r="L67" s="235" t="n"/>
      <c r="M67" s="235" t="n"/>
      <c r="N67" s="197">
        <f>IF(I67="N/A","N/A",整体测评!O$7/M$39)</f>
        <v/>
      </c>
      <c r="O67" s="202">
        <f>IF(I67="N/A","N/A",I67*N67)</f>
        <v/>
      </c>
      <c r="P67" s="202">
        <f>IF(I67="N/A","N/A",N67-O67)</f>
        <v/>
      </c>
    </row>
    <row r="68" ht="14.25" customHeight="1">
      <c r="A68" s="280" t="n"/>
      <c r="B68" s="188" t="inlineStr">
        <is>
          <t>外部数据管理系统-建业贷P8通信信道</t>
        </is>
      </c>
      <c r="C68" s="183" t="inlineStr">
        <is>
          <t>适用</t>
        </is>
      </c>
      <c r="D68" s="183" t="inlineStr">
        <is>
          <t>×</t>
        </is>
      </c>
      <c r="E68" s="183" t="inlineStr">
        <is>
          <t>/</t>
        </is>
      </c>
      <c r="F68" s="183" t="inlineStr">
        <is>
          <t>/</t>
        </is>
      </c>
      <c r="G68" s="176" t="n">
        <v>1</v>
      </c>
      <c r="H68" s="176" t="n">
        <v>1</v>
      </c>
      <c r="I68" s="198">
        <f>IF(C68="不适用","N/A",IF(D68&lt;&gt;"√",0,IF((E68="√")*AND(F68="√"),1,IF((E68&lt;&gt;"√")*AND(F68="√"),0.5*G68,IF((E68="√")*AND(F68&lt;&gt;"√"),0.5*H68,IF((E68&lt;&gt;"√")*AND(F68&lt;&gt;"√"),0.25*G68*H68))))))</f>
        <v/>
      </c>
      <c r="J68" s="198">
        <f>IF(I68="N/A","不适用",IF(I68=1,"符合",IF(I68=0,"不符合","部分符合")))</f>
        <v/>
      </c>
      <c r="K68" s="235" t="n"/>
      <c r="L68" s="235" t="n"/>
      <c r="M68" s="235" t="n"/>
      <c r="N68" s="197">
        <f>IF(I68="N/A","N/A",整体测评!O$7/M$39)</f>
        <v/>
      </c>
      <c r="O68" s="202">
        <f>IF(I68="N/A","N/A",I68*N68)</f>
        <v/>
      </c>
      <c r="P68" s="202">
        <f>IF(I68="N/A","N/A",N68-O68)</f>
        <v/>
      </c>
    </row>
    <row r="69" ht="14.25" customHeight="1">
      <c r="A69" s="280" t="n"/>
      <c r="B69" s="188" t="inlineStr">
        <is>
          <t>智慧社保系统-对接人社局通信信道</t>
        </is>
      </c>
      <c r="C69" s="183" t="inlineStr">
        <is>
          <t>适用</t>
        </is>
      </c>
      <c r="D69" s="183" t="inlineStr">
        <is>
          <t>×</t>
        </is>
      </c>
      <c r="E69" s="183" t="inlineStr">
        <is>
          <t>/</t>
        </is>
      </c>
      <c r="F69" s="183" t="inlineStr">
        <is>
          <t>/</t>
        </is>
      </c>
      <c r="G69" s="176" t="n">
        <v>1</v>
      </c>
      <c r="H69" s="176" t="n">
        <v>1</v>
      </c>
      <c r="I69" s="198">
        <f>IF(C69="不适用","N/A",IF(D69&lt;&gt;"√",0,IF((E69="√")*AND(F69="√"),1,IF((E69&lt;&gt;"√")*AND(F69="√"),0.5*G69,IF((E69="√")*AND(F69&lt;&gt;"√"),0.5*H69,IF((E69&lt;&gt;"√")*AND(F69&lt;&gt;"√"),0.25*G69*H69))))))</f>
        <v/>
      </c>
      <c r="J69" s="198">
        <f>IF(I69="N/A","不适用",IF(I69=1,"符合",IF(I69=0,"不符合","部分符合")))</f>
        <v/>
      </c>
      <c r="K69" s="235" t="n"/>
      <c r="L69" s="235" t="n"/>
      <c r="M69" s="235" t="n"/>
      <c r="N69" s="197">
        <f>IF(I69="N/A","N/A",整体测评!O$7/M$39)</f>
        <v/>
      </c>
      <c r="O69" s="202">
        <f>IF(I69="N/A","N/A",I69*N69)</f>
        <v/>
      </c>
      <c r="P69" s="202">
        <f>IF(I69="N/A","N/A",N69-O69)</f>
        <v/>
      </c>
    </row>
    <row r="70" ht="14.25" customHeight="1">
      <c r="A70" s="280" t="n"/>
      <c r="B70" s="188" t="inlineStr">
        <is>
          <t>智慧社保系统-对接医保局通信信道</t>
        </is>
      </c>
      <c r="C70" s="183" t="inlineStr">
        <is>
          <t>适用</t>
        </is>
      </c>
      <c r="D70" s="183" t="inlineStr">
        <is>
          <t>×</t>
        </is>
      </c>
      <c r="E70" s="183" t="inlineStr">
        <is>
          <t>/</t>
        </is>
      </c>
      <c r="F70" s="183" t="inlineStr">
        <is>
          <t>/</t>
        </is>
      </c>
      <c r="G70" s="176" t="n">
        <v>1</v>
      </c>
      <c r="H70" s="176" t="n">
        <v>1</v>
      </c>
      <c r="I70" s="198">
        <f>IF(C70="不适用","N/A",IF(D70&lt;&gt;"√",0,IF((E70="√")*AND(F70="√"),1,IF((E70&lt;&gt;"√")*AND(F70="√"),0.5*G70,IF((E70="√")*AND(F70&lt;&gt;"√"),0.5*H70,IF((E70&lt;&gt;"√")*AND(F70&lt;&gt;"√"),0.25*G70*H70))))))</f>
        <v/>
      </c>
      <c r="J70" s="198">
        <f>IF(I70="N/A","不适用",IF(I70=1,"符合",IF(I70=0,"不符合","部分符合")))</f>
        <v/>
      </c>
      <c r="K70" s="235" t="n"/>
      <c r="L70" s="235" t="n"/>
      <c r="M70" s="235" t="n"/>
      <c r="N70" s="197">
        <f>IF(I70="N/A","N/A",整体测评!O$7/M$39)</f>
        <v/>
      </c>
      <c r="O70" s="202">
        <f>IF(I70="N/A","N/A",I70*N70)</f>
        <v/>
      </c>
      <c r="P70" s="202">
        <f>IF(I70="N/A","N/A",N70-O70)</f>
        <v/>
      </c>
    </row>
    <row r="71" ht="14.25" customHeight="1">
      <c r="A71" s="280" t="n"/>
      <c r="B71" s="203" t="inlineStr">
        <is>
          <t>员工渠道系统通信信道</t>
        </is>
      </c>
      <c r="C71" s="183" t="inlineStr">
        <is>
          <t>适用</t>
        </is>
      </c>
      <c r="D71" s="183" t="inlineStr">
        <is>
          <t>×</t>
        </is>
      </c>
      <c r="E71" s="183" t="inlineStr">
        <is>
          <t>/</t>
        </is>
      </c>
      <c r="F71" s="183" t="inlineStr">
        <is>
          <t>/</t>
        </is>
      </c>
      <c r="G71" s="176" t="n">
        <v>1</v>
      </c>
      <c r="H71" s="176" t="n">
        <v>1</v>
      </c>
      <c r="I71" s="198">
        <f>IF(C71="不适用","N/A",IF(D71&lt;&gt;"√",0,IF((E71="√")*AND(F71="√"),1,IF((E71&lt;&gt;"√")*AND(F71="√"),0.5*G71,IF((E71="√")*AND(F71&lt;&gt;"√"),0.5*H71,IF((E71&lt;&gt;"√")*AND(F71&lt;&gt;"√"),0.25*G71*H71))))))</f>
        <v/>
      </c>
      <c r="J71" s="198">
        <f>IF(I71="N/A","不适用",IF(I71=1,"符合",IF(I71=0,"不符合","部分符合")))</f>
        <v/>
      </c>
      <c r="K71" s="235" t="n"/>
      <c r="L71" s="235" t="n"/>
      <c r="M71" s="235" t="n"/>
      <c r="N71" s="197">
        <f>IF(I71="N/A","N/A",整体测评!O$7/M$39)</f>
        <v/>
      </c>
      <c r="O71" s="202">
        <f>IF(I71="N/A","N/A",I71*N71)</f>
        <v/>
      </c>
      <c r="P71" s="202">
        <f>IF(I71="N/A","N/A",N71-O71)</f>
        <v/>
      </c>
    </row>
    <row r="72" ht="14.6" customHeight="1">
      <c r="A72" s="278" t="n"/>
      <c r="B72" s="204" t="inlineStr">
        <is>
          <t>勿删</t>
        </is>
      </c>
      <c r="C72" s="182" t="inlineStr">
        <is>
          <t>不适用</t>
        </is>
      </c>
      <c r="D72" s="183" t="inlineStr">
        <is>
          <t>√</t>
        </is>
      </c>
      <c r="E72" s="183" t="inlineStr">
        <is>
          <t>√</t>
        </is>
      </c>
      <c r="F72" s="183" t="inlineStr">
        <is>
          <t>√</t>
        </is>
      </c>
      <c r="G72" s="183" t="n">
        <v>1</v>
      </c>
      <c r="H72" s="183" t="n">
        <v>1</v>
      </c>
      <c r="I72" s="205">
        <f>IF(C72="不适用","N/A",IF(D72&lt;&gt;"√",0,IF((E72="√")*AND(F72="√"),1,IF((E72&lt;&gt;"√")*AND(F72="√"),0.5*G72,IF((E72="√")*AND(F72&lt;&gt;"√"),0.5*H72,IF((E72&lt;&gt;"√")*AND(F72&lt;&gt;"√"),0.25*G72*H72))))))</f>
        <v/>
      </c>
      <c r="J72" s="205">
        <f>IF(I72="N/A","不适用",IF(I72=1,"符合",IF(I72=0,"不符合","部分符合")))</f>
        <v/>
      </c>
      <c r="K72" s="229" t="n"/>
      <c r="L72" s="229" t="n"/>
      <c r="M72" s="229" t="n"/>
      <c r="N72" s="197">
        <f>IF(I72="N/A","N/A",整体测评!O$7/M$39)</f>
        <v/>
      </c>
      <c r="O72" s="202">
        <f>IF(I72="N/A","N/A",I72*N72)</f>
        <v/>
      </c>
      <c r="P72" s="202">
        <f>IF(I72="N/A","N/A",N72-O72)</f>
        <v/>
      </c>
    </row>
    <row r="73" ht="14.25" customHeight="1">
      <c r="A73" s="196" t="inlineStr">
        <is>
          <t>通信过程中重要数据的机密性</t>
        </is>
      </c>
      <c r="B73" s="195" t="inlineStr">
        <is>
          <t>智慧缴费系统小程序通道</t>
        </is>
      </c>
      <c r="C73" s="183" t="inlineStr">
        <is>
          <t>适用</t>
        </is>
      </c>
      <c r="D73" s="183" t="inlineStr">
        <is>
          <t>√</t>
        </is>
      </c>
      <c r="E73" s="183" t="inlineStr">
        <is>
          <t>×</t>
        </is>
      </c>
      <c r="F73" s="183" t="inlineStr">
        <is>
          <t>×</t>
        </is>
      </c>
      <c r="G73" s="176" t="n">
        <v>1</v>
      </c>
      <c r="H73" s="176" t="n">
        <v>1</v>
      </c>
      <c r="I73" s="198">
        <f>IF(C73="不适用","N/A",IF(D73&lt;&gt;"√",0,IF((E73="√")*AND(F73="√"),1,IF((E73&lt;&gt;"√")*AND(F73="√"),0.5*G73,IF((E73="√")*AND(F73&lt;&gt;"√"),0.5*H73,IF((E73&lt;&gt;"√")*AND(F73&lt;&gt;"√"),0.25*G73*H73))))))</f>
        <v/>
      </c>
      <c r="J73" s="198">
        <f>IF(I73="N/A","不适用",IF(I73=1,"符合",IF(I73=0,"不符合","部分符合")))</f>
        <v/>
      </c>
      <c r="K73" s="281">
        <f>IF(COUNTIF($I73:$I106,"N/A")=COUNTA($I73:$I106),"N/A",AVERAGE($I73:$I106))</f>
        <v/>
      </c>
      <c r="L73" s="200">
        <f>IF(K73="N/A","不适用",IF(K73=1,"符合",IF(K73=0,"不符合","部分符合")))</f>
        <v/>
      </c>
      <c r="M73" s="205">
        <f>(COUNTA($C73:$C106)-COUNTIF($C73:$C106,"不适用"))</f>
        <v/>
      </c>
      <c r="N73" s="197">
        <f>IF(I73="N/A","N/A",整体测评!O$8/M$73)</f>
        <v/>
      </c>
      <c r="O73" s="202">
        <f>IF(I73="N/A","N/A",I73*N73)</f>
        <v/>
      </c>
      <c r="P73" s="202">
        <f>IF(I73="N/A","N/A",N73-O73)</f>
        <v/>
      </c>
    </row>
    <row r="74" ht="14.25" customHeight="1">
      <c r="A74" s="280" t="n"/>
      <c r="B74" s="188" t="inlineStr">
        <is>
          <t>智慧缴费系统与吴忠供热之间的通道</t>
        </is>
      </c>
      <c r="C74" s="183" t="inlineStr">
        <is>
          <t>适用</t>
        </is>
      </c>
      <c r="D74" s="183" t="inlineStr">
        <is>
          <t>×</t>
        </is>
      </c>
      <c r="E74" s="183" t="inlineStr">
        <is>
          <t>/</t>
        </is>
      </c>
      <c r="F74" s="183" t="inlineStr">
        <is>
          <t>/</t>
        </is>
      </c>
      <c r="G74" s="176" t="n">
        <v>1</v>
      </c>
      <c r="H74" s="176" t="n">
        <v>1</v>
      </c>
      <c r="I74" s="198">
        <f>IF(C74="不适用","N/A",IF(D74&lt;&gt;"√",0,IF((E74="√")*AND(F74="√"),1,IF((E74&lt;&gt;"√")*AND(F74="√"),0.5*G74,IF((E74="√")*AND(F74&lt;&gt;"√"),0.5*H74,IF((E74&lt;&gt;"√")*AND(F74&lt;&gt;"√"),0.25*G74*H74))))))</f>
        <v/>
      </c>
      <c r="J74" s="198">
        <f>IF(I74="N/A","不适用",IF(I74=1,"符合",IF(I74=0,"不符合","部分符合")))</f>
        <v/>
      </c>
      <c r="K74" s="235" t="n"/>
      <c r="L74" s="235" t="n"/>
      <c r="M74" s="235" t="n"/>
      <c r="N74" s="197">
        <f>IF(I74="N/A","N/A",整体测评!O$8/M$73)</f>
        <v/>
      </c>
      <c r="O74" s="202">
        <f>IF(I74="N/A","N/A",I74*N74)</f>
        <v/>
      </c>
      <c r="P74" s="202">
        <f>IF(I74="N/A","N/A",N74-O74)</f>
        <v/>
      </c>
    </row>
    <row r="75" ht="14.25" customHeight="1">
      <c r="A75" s="280" t="n"/>
      <c r="B75" s="188" t="inlineStr">
        <is>
          <t>智慧缴费系统与吴忠水发之间的通道</t>
        </is>
      </c>
      <c r="C75" s="183" t="inlineStr">
        <is>
          <t>适用</t>
        </is>
      </c>
      <c r="D75" s="183" t="inlineStr">
        <is>
          <t>×</t>
        </is>
      </c>
      <c r="E75" s="183" t="inlineStr">
        <is>
          <t>/</t>
        </is>
      </c>
      <c r="F75" s="183" t="inlineStr">
        <is>
          <t>/</t>
        </is>
      </c>
      <c r="G75" s="176" t="n">
        <v>1</v>
      </c>
      <c r="H75" s="176" t="n">
        <v>1</v>
      </c>
      <c r="I75" s="198">
        <f>IF(C75="不适用","N/A",IF(D75&lt;&gt;"√",0,IF((E75="√")*AND(F75="√"),1,IF((E75&lt;&gt;"√")*AND(F75="√"),0.5*G75,IF((E75="√")*AND(F75&lt;&gt;"√"),0.5*H75,IF((E75&lt;&gt;"√")*AND(F75&lt;&gt;"√"),0.25*G75*H75))))))</f>
        <v/>
      </c>
      <c r="J75" s="198">
        <f>IF(I75="N/A","不适用",IF(I75=1,"符合",IF(I75=0,"不符合","部分符合")))</f>
        <v/>
      </c>
      <c r="K75" s="235" t="n"/>
      <c r="L75" s="235" t="n"/>
      <c r="M75" s="235" t="n"/>
      <c r="N75" s="197">
        <f>IF(I75="N/A","N/A",整体测评!O$8/M$73)</f>
        <v/>
      </c>
      <c r="O75" s="202">
        <f>IF(I75="N/A","N/A",I75*N75)</f>
        <v/>
      </c>
      <c r="P75" s="202">
        <f>IF(I75="N/A","N/A",N75-O75)</f>
        <v/>
      </c>
    </row>
    <row r="76" ht="14.25" customHeight="1">
      <c r="A76" s="280" t="n"/>
      <c r="B76" s="188" t="inlineStr">
        <is>
          <t>智慧缴费系统与高速缴费之间的通道</t>
        </is>
      </c>
      <c r="C76" s="183" t="inlineStr">
        <is>
          <t>适用</t>
        </is>
      </c>
      <c r="D76" s="183" t="inlineStr">
        <is>
          <t>×</t>
        </is>
      </c>
      <c r="E76" s="183" t="inlineStr">
        <is>
          <t>/</t>
        </is>
      </c>
      <c r="F76" s="183" t="inlineStr">
        <is>
          <t>/</t>
        </is>
      </c>
      <c r="G76" s="176" t="n">
        <v>1</v>
      </c>
      <c r="H76" s="176" t="n">
        <v>1</v>
      </c>
      <c r="I76" s="198">
        <f>IF(C76="不适用","N/A",IF(D76&lt;&gt;"√",0,IF((E76="√")*AND(F76="√"),1,IF((E76&lt;&gt;"√")*AND(F76="√"),0.5*G76,IF((E76="√")*AND(F76&lt;&gt;"√"),0.5*H76,IF((E76&lt;&gt;"√")*AND(F76&lt;&gt;"√"),0.25*G76*H76))))))</f>
        <v/>
      </c>
      <c r="J76" s="198">
        <f>IF(I76="N/A","不适用",IF(I76=1,"符合",IF(I76=0,"不符合","部分符合")))</f>
        <v/>
      </c>
      <c r="K76" s="235" t="n"/>
      <c r="L76" s="235" t="n"/>
      <c r="M76" s="235" t="n"/>
      <c r="N76" s="197">
        <f>IF(I76="N/A","N/A",整体测评!O$8/M$73)</f>
        <v/>
      </c>
      <c r="O76" s="202">
        <f>IF(I76="N/A","N/A",I76*N76)</f>
        <v/>
      </c>
      <c r="P76" s="202">
        <f>IF(I76="N/A","N/A",N76-O76)</f>
        <v/>
      </c>
    </row>
    <row r="77" ht="14.25" customHeight="1">
      <c r="A77" s="280" t="n"/>
      <c r="B77" s="188" t="inlineStr">
        <is>
          <t>智慧缴费系统与新南燃气之间的通道</t>
        </is>
      </c>
      <c r="C77" s="183" t="inlineStr">
        <is>
          <t>适用</t>
        </is>
      </c>
      <c r="D77" s="183" t="inlineStr">
        <is>
          <t>×</t>
        </is>
      </c>
      <c r="E77" s="183" t="inlineStr">
        <is>
          <t>/</t>
        </is>
      </c>
      <c r="F77" s="183" t="inlineStr">
        <is>
          <t>/</t>
        </is>
      </c>
      <c r="G77" s="176" t="n">
        <v>1</v>
      </c>
      <c r="H77" s="176" t="n">
        <v>1</v>
      </c>
      <c r="I77" s="198">
        <f>IF(C77="不适用","N/A",IF(D77&lt;&gt;"√",0,IF((E77="√")*AND(F77="√"),1,IF((E77&lt;&gt;"√")*AND(F77="√"),0.5*G77,IF((E77="√")*AND(F77&lt;&gt;"√"),0.5*H77,IF((E77&lt;&gt;"√")*AND(F77&lt;&gt;"√"),0.25*G77*H77))))))</f>
        <v/>
      </c>
      <c r="J77" s="198">
        <f>IF(I77="N/A","不适用",IF(I77=1,"符合",IF(I77=0,"不符合","部分符合")))</f>
        <v/>
      </c>
      <c r="K77" s="235" t="n"/>
      <c r="L77" s="235" t="n"/>
      <c r="M77" s="235" t="n"/>
      <c r="N77" s="197">
        <f>IF(I77="N/A","N/A",整体测评!O$8/M$73)</f>
        <v/>
      </c>
      <c r="O77" s="202">
        <f>IF(I77="N/A","N/A",I77*N77)</f>
        <v/>
      </c>
      <c r="P77" s="202">
        <f>IF(I77="N/A","N/A",N77-O77)</f>
        <v/>
      </c>
    </row>
    <row r="78" ht="14.25" customHeight="1">
      <c r="A78" s="280" t="n"/>
      <c r="B78" s="188" t="inlineStr">
        <is>
          <t>PC端访问现金管理系统的通道</t>
        </is>
      </c>
      <c r="C78" s="183" t="inlineStr">
        <is>
          <t>适用</t>
        </is>
      </c>
      <c r="D78" s="183" t="inlineStr">
        <is>
          <t>×</t>
        </is>
      </c>
      <c r="E78" s="183" t="inlineStr">
        <is>
          <t>/</t>
        </is>
      </c>
      <c r="F78" s="183" t="inlineStr">
        <is>
          <t>/</t>
        </is>
      </c>
      <c r="G78" s="176" t="n">
        <v>1</v>
      </c>
      <c r="H78" s="176" t="n">
        <v>1</v>
      </c>
      <c r="I78" s="198">
        <f>IF(C78="不适用","N/A",IF(D78&lt;&gt;"√",0,IF((E78="√")*AND(F78="√"),1,IF((E78&lt;&gt;"√")*AND(F78="√"),0.5*G78,IF((E78="√")*AND(F78&lt;&gt;"√"),0.5*H78,IF((E78&lt;&gt;"√")*AND(F78&lt;&gt;"√"),0.25*G78*H78))))))</f>
        <v/>
      </c>
      <c r="J78" s="198">
        <f>IF(I78="N/A","不适用",IF(I78=1,"符合",IF(I78=0,"不符合","部分符合")))</f>
        <v/>
      </c>
      <c r="K78" s="235" t="n"/>
      <c r="L78" s="235" t="n"/>
      <c r="M78" s="235" t="n"/>
      <c r="N78" s="197">
        <f>IF(I78="N/A","N/A",整体测评!O$8/M$73)</f>
        <v/>
      </c>
      <c r="O78" s="202">
        <f>IF(I78="N/A","N/A",I78*N78)</f>
        <v/>
      </c>
      <c r="P78" s="202">
        <f>IF(I78="N/A","N/A",N78-O78)</f>
        <v/>
      </c>
    </row>
    <row r="79" ht="14.25" customHeight="1">
      <c r="A79" s="280" t="n"/>
      <c r="B79" s="188" t="inlineStr">
        <is>
          <t>现金管理系统与国电之间的通道</t>
        </is>
      </c>
      <c r="C79" s="183" t="inlineStr">
        <is>
          <t>适用</t>
        </is>
      </c>
      <c r="D79" s="183" t="inlineStr">
        <is>
          <t>×</t>
        </is>
      </c>
      <c r="E79" s="183" t="inlineStr">
        <is>
          <t>/</t>
        </is>
      </c>
      <c r="F79" s="183" t="inlineStr">
        <is>
          <t>/</t>
        </is>
      </c>
      <c r="G79" s="176" t="n">
        <v>1</v>
      </c>
      <c r="H79" s="176" t="n">
        <v>1</v>
      </c>
      <c r="I79" s="198">
        <f>IF(C79="不适用","N/A",IF(D79&lt;&gt;"√",0,IF((E79="√")*AND(F79="√"),1,IF((E79&lt;&gt;"√")*AND(F79="√"),0.5*G79,IF((E79="√")*AND(F79&lt;&gt;"√"),0.5*H79,IF((E79&lt;&gt;"√")*AND(F79&lt;&gt;"√"),0.25*G79*H79))))))</f>
        <v/>
      </c>
      <c r="J79" s="198">
        <f>IF(I79="N/A","不适用",IF(I79=1,"符合",IF(I79=0,"不符合","部分符合")))</f>
        <v/>
      </c>
      <c r="K79" s="235" t="n"/>
      <c r="L79" s="235" t="n"/>
      <c r="M79" s="235" t="n"/>
      <c r="N79" s="197">
        <f>IF(I79="N/A","N/A",整体测评!O$8/M$73)</f>
        <v/>
      </c>
      <c r="O79" s="202">
        <f>IF(I79="N/A","N/A",I79*N79)</f>
        <v/>
      </c>
      <c r="P79" s="202">
        <f>IF(I79="N/A","N/A",N79-O79)</f>
        <v/>
      </c>
    </row>
    <row r="80" ht="14.25" customHeight="1">
      <c r="A80" s="280" t="n"/>
      <c r="B80" s="188" t="inlineStr">
        <is>
          <t>现金管理系统与监狱管理局之间的通道</t>
        </is>
      </c>
      <c r="C80" s="183" t="inlineStr">
        <is>
          <t>适用</t>
        </is>
      </c>
      <c r="D80" s="183" t="inlineStr">
        <is>
          <t>×</t>
        </is>
      </c>
      <c r="E80" s="183" t="inlineStr">
        <is>
          <t>/</t>
        </is>
      </c>
      <c r="F80" s="183" t="inlineStr">
        <is>
          <t>/</t>
        </is>
      </c>
      <c r="G80" s="176" t="n">
        <v>1</v>
      </c>
      <c r="H80" s="176" t="n">
        <v>1</v>
      </c>
      <c r="I80" s="198">
        <f>IF(C80="不适用","N/A",IF(D80&lt;&gt;"√",0,IF((E80="√")*AND(F80="√"),1,IF((E80&lt;&gt;"√")*AND(F80="√"),0.5*G80,IF((E80="√")*AND(F80&lt;&gt;"√"),0.5*H80,IF((E80&lt;&gt;"√")*AND(F80&lt;&gt;"√"),0.25*G80*H80))))))</f>
        <v/>
      </c>
      <c r="J80" s="198">
        <f>IF(I80="N/A","不适用",IF(I80=1,"符合",IF(I80=0,"不符合","部分符合")))</f>
        <v/>
      </c>
      <c r="K80" s="235" t="n"/>
      <c r="L80" s="235" t="n"/>
      <c r="M80" s="235" t="n"/>
      <c r="N80" s="197">
        <f>IF(I80="N/A","N/A",整体测评!O$8/M$73)</f>
        <v/>
      </c>
      <c r="O80" s="202">
        <f>IF(I80="N/A","N/A",I80*N80)</f>
        <v/>
      </c>
      <c r="P80" s="202">
        <f>IF(I80="N/A","N/A",N80-O80)</f>
        <v/>
      </c>
    </row>
    <row r="81" ht="14.25" customHeight="1">
      <c r="A81" s="280" t="n"/>
      <c r="B81" s="188" t="inlineStr">
        <is>
          <t>现金管理系统与烟草之间的通道</t>
        </is>
      </c>
      <c r="C81" s="183" t="inlineStr">
        <is>
          <t>适用</t>
        </is>
      </c>
      <c r="D81" s="183" t="inlineStr">
        <is>
          <t>×</t>
        </is>
      </c>
      <c r="E81" s="183" t="inlineStr">
        <is>
          <t>/</t>
        </is>
      </c>
      <c r="F81" s="183" t="inlineStr">
        <is>
          <t>/</t>
        </is>
      </c>
      <c r="G81" s="176" t="n">
        <v>1</v>
      </c>
      <c r="H81" s="176" t="n">
        <v>1</v>
      </c>
      <c r="I81" s="198">
        <f>IF(C81="不适用","N/A",IF(D81&lt;&gt;"√",0,IF((E81="√")*AND(F81="√"),1,IF((E81&lt;&gt;"√")*AND(F81="√"),0.5*G81,IF((E81="√")*AND(F81&lt;&gt;"√"),0.5*H81,IF((E81&lt;&gt;"√")*AND(F81&lt;&gt;"√"),0.25*G81*H81))))))</f>
        <v/>
      </c>
      <c r="J81" s="198">
        <f>IF(I81="N/A","不适用",IF(I81=1,"符合",IF(I81=0,"不符合","部分符合")))</f>
        <v/>
      </c>
      <c r="K81" s="235" t="n"/>
      <c r="L81" s="235" t="n"/>
      <c r="M81" s="235" t="n"/>
      <c r="N81" s="197">
        <f>IF(I81="N/A","N/A",整体测评!O$8/M$73)</f>
        <v/>
      </c>
      <c r="O81" s="202">
        <f>IF(I81="N/A","N/A",I81*N81)</f>
        <v/>
      </c>
      <c r="P81" s="202">
        <f>IF(I81="N/A","N/A",N81-O81)</f>
        <v/>
      </c>
    </row>
    <row r="82" ht="14.25" customHeight="1">
      <c r="A82" s="280" t="n"/>
      <c r="B82" s="188" t="inlineStr">
        <is>
          <t>现金管理系统与预售房之间的通道</t>
        </is>
      </c>
      <c r="C82" s="183" t="inlineStr">
        <is>
          <t>适用</t>
        </is>
      </c>
      <c r="D82" s="183" t="inlineStr">
        <is>
          <t>×</t>
        </is>
      </c>
      <c r="E82" s="183" t="inlineStr">
        <is>
          <t>/</t>
        </is>
      </c>
      <c r="F82" s="183" t="inlineStr">
        <is>
          <t>/</t>
        </is>
      </c>
      <c r="G82" s="176" t="n">
        <v>1</v>
      </c>
      <c r="H82" s="176" t="n">
        <v>1</v>
      </c>
      <c r="I82" s="198">
        <f>IF(C82="不适用","N/A",IF(D82&lt;&gt;"√",0,IF((E82="√")*AND(F82="√"),1,IF((E82&lt;&gt;"√")*AND(F82="√"),0.5*G82,IF((E82="√")*AND(F82&lt;&gt;"√"),0.5*H82,IF((E82&lt;&gt;"√")*AND(F82&lt;&gt;"√"),0.25*G82*H82))))))</f>
        <v/>
      </c>
      <c r="J82" s="198">
        <f>IF(I82="N/A","不适用",IF(I82=1,"符合",IF(I82=0,"不符合","部分符合")))</f>
        <v/>
      </c>
      <c r="K82" s="235" t="n"/>
      <c r="L82" s="235" t="n"/>
      <c r="M82" s="235" t="n"/>
      <c r="N82" s="197">
        <f>IF(I82="N/A","N/A",整体测评!O$8/M$73)</f>
        <v/>
      </c>
      <c r="O82" s="202">
        <f>IF(I82="N/A","N/A",I82*N82)</f>
        <v/>
      </c>
      <c r="P82" s="202">
        <f>IF(I82="N/A","N/A",N82-O82)</f>
        <v/>
      </c>
    </row>
    <row r="83" ht="14.25" customHeight="1">
      <c r="A83" s="280" t="n"/>
      <c r="B83" s="188" t="inlineStr">
        <is>
          <t>新一代电子不停车收费系统与公路局之间的通道</t>
        </is>
      </c>
      <c r="C83" s="183" t="inlineStr">
        <is>
          <t>适用</t>
        </is>
      </c>
      <c r="D83" s="183" t="inlineStr">
        <is>
          <t>×</t>
        </is>
      </c>
      <c r="E83" s="183" t="inlineStr">
        <is>
          <t>/</t>
        </is>
      </c>
      <c r="F83" s="183" t="inlineStr">
        <is>
          <t>/</t>
        </is>
      </c>
      <c r="G83" s="176" t="n">
        <v>1</v>
      </c>
      <c r="H83" s="176" t="n">
        <v>1</v>
      </c>
      <c r="I83" s="198">
        <f>IF(C83="不适用","N/A",IF(D83&lt;&gt;"√",0,IF((E83="√")*AND(F83="√"),1,IF((E83&lt;&gt;"√")*AND(F83="√"),0.5*G83,IF((E83="√")*AND(F83&lt;&gt;"√"),0.5*H83,IF((E83&lt;&gt;"√")*AND(F83&lt;&gt;"√"),0.25*G83*H83))))))</f>
        <v/>
      </c>
      <c r="J83" s="198">
        <f>IF(I83="N/A","不适用",IF(I83=1,"符合",IF(I83=0,"不符合","部分符合")))</f>
        <v/>
      </c>
      <c r="K83" s="235" t="n"/>
      <c r="L83" s="235" t="n"/>
      <c r="M83" s="235" t="n"/>
      <c r="N83" s="197">
        <f>IF(I83="N/A","N/A",整体测评!O$8/M$73)</f>
        <v/>
      </c>
      <c r="O83" s="202">
        <f>IF(I83="N/A","N/A",I83*N83)</f>
        <v/>
      </c>
      <c r="P83" s="202">
        <f>IF(I83="N/A","N/A",N83-O83)</f>
        <v/>
      </c>
    </row>
    <row r="84" ht="14.25" customHeight="1">
      <c r="A84" s="280" t="n"/>
      <c r="B84" s="188" t="inlineStr">
        <is>
          <t>代收付系统与医保厅之间的通道</t>
        </is>
      </c>
      <c r="C84" s="183" t="inlineStr">
        <is>
          <t>适用</t>
        </is>
      </c>
      <c r="D84" s="183" t="inlineStr">
        <is>
          <t>×</t>
        </is>
      </c>
      <c r="E84" s="183" t="inlineStr">
        <is>
          <t>/</t>
        </is>
      </c>
      <c r="F84" s="183" t="inlineStr">
        <is>
          <t>/</t>
        </is>
      </c>
      <c r="G84" s="176" t="n">
        <v>1</v>
      </c>
      <c r="H84" s="176" t="n">
        <v>1</v>
      </c>
      <c r="I84" s="198">
        <f>IF(C84="不适用","N/A",IF(D84&lt;&gt;"√",0,IF((E84="√")*AND(F84="√"),1,IF((E84&lt;&gt;"√")*AND(F84="√"),0.5*G84,IF((E84="√")*AND(F84&lt;&gt;"√"),0.5*H84,IF((E84&lt;&gt;"√")*AND(F84&lt;&gt;"√"),0.25*G84*H84))))))</f>
        <v/>
      </c>
      <c r="J84" s="198">
        <f>IF(I84="N/A","不适用",IF(I84=1,"符合",IF(I84=0,"不符合","部分符合")))</f>
        <v/>
      </c>
      <c r="K84" s="235" t="n"/>
      <c r="L84" s="235" t="n"/>
      <c r="M84" s="235" t="n"/>
      <c r="N84" s="197">
        <f>IF(I84="N/A","N/A",整体测评!O$8/M$73)</f>
        <v/>
      </c>
      <c r="O84" s="202">
        <f>IF(I84="N/A","N/A",I84*N84)</f>
        <v/>
      </c>
      <c r="P84" s="202">
        <f>IF(I84="N/A","N/A",N84-O84)</f>
        <v/>
      </c>
    </row>
    <row r="85" ht="14.25" customHeight="1">
      <c r="A85" s="280" t="n"/>
      <c r="B85" s="188" t="inlineStr">
        <is>
          <t>代收付系统与学校之间的通道</t>
        </is>
      </c>
      <c r="C85" s="183" t="inlineStr">
        <is>
          <t>适用</t>
        </is>
      </c>
      <c r="D85" s="183" t="inlineStr">
        <is>
          <t>×</t>
        </is>
      </c>
      <c r="E85" s="183" t="inlineStr">
        <is>
          <t>/</t>
        </is>
      </c>
      <c r="F85" s="183" t="inlineStr">
        <is>
          <t>/</t>
        </is>
      </c>
      <c r="G85" s="176" t="n">
        <v>1</v>
      </c>
      <c r="H85" s="176" t="n">
        <v>1</v>
      </c>
      <c r="I85" s="198">
        <f>IF(C85="不适用","N/A",IF(D85&lt;&gt;"√",0,IF((E85="√")*AND(F85="√"),1,IF((E85&lt;&gt;"√")*AND(F85="√"),0.5*G85,IF((E85="√")*AND(F85&lt;&gt;"√"),0.5*H85,IF((E85&lt;&gt;"√")*AND(F85&lt;&gt;"√"),0.25*G85*H85))))))</f>
        <v/>
      </c>
      <c r="J85" s="198">
        <f>IF(I85="N/A","不适用",IF(I85=1,"符合",IF(I85=0,"不符合","部分符合")))</f>
        <v/>
      </c>
      <c r="K85" s="235" t="n"/>
      <c r="L85" s="235" t="n"/>
      <c r="M85" s="235" t="n"/>
      <c r="N85" s="197">
        <f>IF(I85="N/A","N/A",整体测评!O$8/M$73)</f>
        <v/>
      </c>
      <c r="O85" s="202">
        <f>IF(I85="N/A","N/A",I85*N85)</f>
        <v/>
      </c>
      <c r="P85" s="202">
        <f>IF(I85="N/A","N/A",N85-O85)</f>
        <v/>
      </c>
    </row>
    <row r="86" ht="14.25" customHeight="1">
      <c r="A86" s="280" t="n"/>
      <c r="B86" s="188" t="inlineStr">
        <is>
          <t>代收付系统与银川市物业服务中心之间的通道</t>
        </is>
      </c>
      <c r="C86" s="183" t="inlineStr">
        <is>
          <t>适用</t>
        </is>
      </c>
      <c r="D86" s="183" t="inlineStr">
        <is>
          <t>×</t>
        </is>
      </c>
      <c r="E86" s="183" t="inlineStr">
        <is>
          <t>/</t>
        </is>
      </c>
      <c r="F86" s="183" t="inlineStr">
        <is>
          <t>/</t>
        </is>
      </c>
      <c r="G86" s="176" t="n">
        <v>1</v>
      </c>
      <c r="H86" s="176" t="n">
        <v>1</v>
      </c>
      <c r="I86" s="198">
        <f>IF(C86="不适用","N/A",IF(D86&lt;&gt;"√",0,IF((E86="√")*AND(F86="√"),1,IF((E86&lt;&gt;"√")*AND(F86="√"),0.5*G86,IF((E86="√")*AND(F86&lt;&gt;"√"),0.5*H86,IF((E86&lt;&gt;"√")*AND(F86&lt;&gt;"√"),0.25*G86*H86))))))</f>
        <v/>
      </c>
      <c r="J86" s="198">
        <f>IF(I86="N/A","不适用",IF(I86=1,"符合",IF(I86=0,"不符合","部分符合")))</f>
        <v/>
      </c>
      <c r="K86" s="235" t="n"/>
      <c r="L86" s="235" t="n"/>
      <c r="M86" s="235" t="n"/>
      <c r="N86" s="197">
        <f>IF(I86="N/A","N/A",整体测评!O$8/M$73)</f>
        <v/>
      </c>
      <c r="O86" s="202">
        <f>IF(I86="N/A","N/A",I86*N86)</f>
        <v/>
      </c>
      <c r="P86" s="202">
        <f>IF(I86="N/A","N/A",N86-O86)</f>
        <v/>
      </c>
    </row>
    <row r="87" ht="14.25" customHeight="1">
      <c r="A87" s="280" t="n"/>
      <c r="B87" s="188" t="inlineStr">
        <is>
          <t>代收付系统与宁夏自治区财政厅之间的通道</t>
        </is>
      </c>
      <c r="C87" s="183" t="inlineStr">
        <is>
          <t>适用</t>
        </is>
      </c>
      <c r="D87" s="183" t="inlineStr">
        <is>
          <t>×</t>
        </is>
      </c>
      <c r="E87" s="183" t="inlineStr">
        <is>
          <t>/</t>
        </is>
      </c>
      <c r="F87" s="183" t="inlineStr">
        <is>
          <t>/</t>
        </is>
      </c>
      <c r="G87" s="176" t="n">
        <v>1</v>
      </c>
      <c r="H87" s="176" t="n">
        <v>1</v>
      </c>
      <c r="I87" s="198">
        <f>IF(C87="不适用","N/A",IF(D87&lt;&gt;"√",0,IF((E87="√")*AND(F87="√"),1,IF((E87&lt;&gt;"√")*AND(F87="√"),0.5*G87,IF((E87="√")*AND(F87&lt;&gt;"√"),0.5*H87,IF((E87&lt;&gt;"√")*AND(F87&lt;&gt;"√"),0.25*G87*H87))))))</f>
        <v/>
      </c>
      <c r="J87" s="198">
        <f>IF(I87="N/A","不适用",IF(I87=1,"符合",IF(I87=0,"不符合","部分符合")))</f>
        <v/>
      </c>
      <c r="K87" s="235" t="n"/>
      <c r="L87" s="235" t="n"/>
      <c r="M87" s="235" t="n"/>
      <c r="N87" s="197">
        <f>IF(I87="N/A","N/A",整体测评!O$8/M$73)</f>
        <v/>
      </c>
      <c r="O87" s="202">
        <f>IF(I87="N/A","N/A",I87*N87)</f>
        <v/>
      </c>
      <c r="P87" s="202">
        <f>IF(I87="N/A","N/A",N87-O87)</f>
        <v/>
      </c>
    </row>
    <row r="88" ht="14.25" customHeight="1">
      <c r="A88" s="280" t="n"/>
      <c r="B88" s="188" t="inlineStr">
        <is>
          <t>集中管理通道</t>
        </is>
      </c>
      <c r="C88" s="183" t="inlineStr">
        <is>
          <t>适用</t>
        </is>
      </c>
      <c r="D88" s="183" t="inlineStr">
        <is>
          <t>×</t>
        </is>
      </c>
      <c r="E88" s="183" t="inlineStr">
        <is>
          <t>/</t>
        </is>
      </c>
      <c r="F88" s="183" t="inlineStr">
        <is>
          <t>/</t>
        </is>
      </c>
      <c r="G88" s="176" t="n">
        <v>1</v>
      </c>
      <c r="H88" s="176" t="n">
        <v>1</v>
      </c>
      <c r="I88" s="198">
        <f>IF(C88="不适用","N/A",IF(D88&lt;&gt;"√",0,IF((E88="√")*AND(F88="√"),1,IF((E88&lt;&gt;"√")*AND(F88="√"),0.5*G88,IF((E88="√")*AND(F88&lt;&gt;"√"),0.5*H88,IF((E88&lt;&gt;"√")*AND(F88&lt;&gt;"√"),0.25*G88*H88))))))</f>
        <v/>
      </c>
      <c r="J88" s="198">
        <f>IF(I88="N/A","不适用",IF(I88=1,"符合",IF(I88=0,"不符合","部分符合")))</f>
        <v/>
      </c>
      <c r="K88" s="235" t="n"/>
      <c r="L88" s="235" t="n"/>
      <c r="M88" s="235" t="n"/>
      <c r="N88" s="197">
        <f>IF(I88="N/A","N/A",整体测评!O$8/M$73)</f>
        <v/>
      </c>
      <c r="O88" s="202">
        <f>IF(I88="N/A","N/A",I88*N88)</f>
        <v/>
      </c>
      <c r="P88" s="202">
        <f>IF(I88="N/A","N/A",N88-O88)</f>
        <v/>
      </c>
    </row>
    <row r="89" ht="14.25" customHeight="1">
      <c r="A89" s="280" t="n"/>
      <c r="B89" s="188" t="inlineStr">
        <is>
          <t>代理财政集中收付系统前置与财政厅间通道</t>
        </is>
      </c>
      <c r="C89" s="183" t="inlineStr">
        <is>
          <t>适用</t>
        </is>
      </c>
      <c r="D89" s="183" t="inlineStr">
        <is>
          <t>×</t>
        </is>
      </c>
      <c r="E89" s="183" t="inlineStr">
        <is>
          <t>/</t>
        </is>
      </c>
      <c r="F89" s="183" t="inlineStr">
        <is>
          <t>/</t>
        </is>
      </c>
      <c r="G89" s="176" t="n">
        <v>1</v>
      </c>
      <c r="H89" s="176" t="n">
        <v>1</v>
      </c>
      <c r="I89" s="198">
        <f>IF(C89="不适用","N/A",IF(D89&lt;&gt;"√",0,IF((E89="√")*AND(F89="√"),1,IF((E89&lt;&gt;"√")*AND(F89="√"),0.5*G89,IF((E89="√")*AND(F89&lt;&gt;"√"),0.5*H89,IF((E89&lt;&gt;"√")*AND(F89&lt;&gt;"√"),0.25*G89*H89))))))</f>
        <v/>
      </c>
      <c r="J89" s="198">
        <f>IF(I89="N/A","不适用",IF(I89=1,"符合",IF(I89=0,"不符合","部分符合")))</f>
        <v/>
      </c>
      <c r="K89" s="235" t="n"/>
      <c r="L89" s="235" t="n"/>
      <c r="M89" s="235" t="n"/>
      <c r="N89" s="197">
        <f>IF(I89="N/A","N/A",整体测评!O$8/M$73)</f>
        <v/>
      </c>
      <c r="O89" s="202">
        <f>IF(I89="N/A","N/A",I89*N89)</f>
        <v/>
      </c>
      <c r="P89" s="202">
        <f>IF(I89="N/A","N/A",N89-O89)</f>
        <v/>
      </c>
    </row>
    <row r="90" ht="14.25" customHeight="1">
      <c r="A90" s="280" t="n"/>
      <c r="B90" s="188" t="inlineStr">
        <is>
          <t>分行智能管理系统-人行对接通信信道</t>
        </is>
      </c>
      <c r="C90" s="183" t="inlineStr">
        <is>
          <t>适用</t>
        </is>
      </c>
      <c r="D90" s="183" t="inlineStr">
        <is>
          <t>×</t>
        </is>
      </c>
      <c r="E90" s="183" t="inlineStr">
        <is>
          <t>/</t>
        </is>
      </c>
      <c r="F90" s="183" t="inlineStr">
        <is>
          <t>/</t>
        </is>
      </c>
      <c r="G90" s="176" t="n">
        <v>1</v>
      </c>
      <c r="H90" s="176" t="n">
        <v>1</v>
      </c>
      <c r="I90" s="198">
        <f>IF(C90="不适用","N/A",IF(D90&lt;&gt;"√",0,IF((E90="√")*AND(F90="√"),1,IF((E90&lt;&gt;"√")*AND(F90="√"),0.5*G90,IF((E90="√")*AND(F90&lt;&gt;"√"),0.5*H90,IF((E90&lt;&gt;"√")*AND(F90&lt;&gt;"√"),0.25*G90*H90))))))</f>
        <v/>
      </c>
      <c r="J90" s="198">
        <f>IF(I90="N/A","不适用",IF(I90=1,"符合",IF(I90=0,"不符合","部分符合")))</f>
        <v/>
      </c>
      <c r="K90" s="235" t="n"/>
      <c r="L90" s="235" t="n"/>
      <c r="M90" s="235" t="n"/>
      <c r="N90" s="197">
        <f>IF(I90="N/A","N/A",整体测评!O$8/M$73)</f>
        <v/>
      </c>
      <c r="O90" s="202">
        <f>IF(I90="N/A","N/A",I90*N90)</f>
        <v/>
      </c>
      <c r="P90" s="202">
        <f>IF(I90="N/A","N/A",N90-O90)</f>
        <v/>
      </c>
    </row>
    <row r="91" ht="14.25" customHeight="1">
      <c r="A91" s="280" t="n"/>
      <c r="B91" s="188" t="inlineStr">
        <is>
          <t>分行智能管理系统-客户端通信信道</t>
        </is>
      </c>
      <c r="C91" s="183" t="inlineStr">
        <is>
          <t>适用</t>
        </is>
      </c>
      <c r="D91" s="183" t="inlineStr">
        <is>
          <t>×</t>
        </is>
      </c>
      <c r="E91" s="183" t="inlineStr">
        <is>
          <t>/</t>
        </is>
      </c>
      <c r="F91" s="183" t="inlineStr">
        <is>
          <t>/</t>
        </is>
      </c>
      <c r="G91" s="176" t="n">
        <v>1</v>
      </c>
      <c r="H91" s="176" t="n">
        <v>1</v>
      </c>
      <c r="I91" s="198">
        <f>IF(C91="不适用","N/A",IF(D91&lt;&gt;"√",0,IF((E91="√")*AND(F91="√"),1,IF((E91&lt;&gt;"√")*AND(F91="√"),0.5*G91,IF((E91="√")*AND(F91&lt;&gt;"√"),0.5*H91,IF((E91&lt;&gt;"√")*AND(F91&lt;&gt;"√"),0.25*G91*H91))))))</f>
        <v/>
      </c>
      <c r="J91" s="198">
        <f>IF(I91="N/A","不适用",IF(I91=1,"符合",IF(I91=0,"不符合","部分符合")))</f>
        <v/>
      </c>
      <c r="K91" s="235" t="n"/>
      <c r="L91" s="235" t="n"/>
      <c r="M91" s="235" t="n"/>
      <c r="N91" s="197">
        <f>IF(I91="N/A","N/A",整体测评!O$8/M$73)</f>
        <v/>
      </c>
      <c r="O91" s="202">
        <f>IF(I91="N/A","N/A",I91*N91)</f>
        <v/>
      </c>
      <c r="P91" s="202">
        <f>IF(I91="N/A","N/A",N91-O91)</f>
        <v/>
      </c>
    </row>
    <row r="92" ht="14.25" customHeight="1">
      <c r="A92" s="280" t="n"/>
      <c r="B92" s="188" t="inlineStr">
        <is>
          <t>区域客户服务系统-医院对接通信信道</t>
        </is>
      </c>
      <c r="C92" s="183" t="inlineStr">
        <is>
          <t>适用</t>
        </is>
      </c>
      <c r="D92" s="183" t="inlineStr">
        <is>
          <t>×</t>
        </is>
      </c>
      <c r="E92" s="183" t="inlineStr">
        <is>
          <t>/</t>
        </is>
      </c>
      <c r="F92" s="183" t="inlineStr">
        <is>
          <t>/</t>
        </is>
      </c>
      <c r="G92" s="176" t="n">
        <v>1</v>
      </c>
      <c r="H92" s="176" t="n">
        <v>1</v>
      </c>
      <c r="I92" s="198">
        <f>IF(C92="不适用","N/A",IF(D92&lt;&gt;"√",0,IF((E92="√")*AND(F92="√"),1,IF((E92&lt;&gt;"√")*AND(F92="√"),0.5*G92,IF((E92="√")*AND(F92&lt;&gt;"√"),0.5*H92,IF((E92&lt;&gt;"√")*AND(F92&lt;&gt;"√"),0.25*G92*H92))))))</f>
        <v/>
      </c>
      <c r="J92" s="198">
        <f>IF(I92="N/A","不适用",IF(I92=1,"符合",IF(I92=0,"不符合","部分符合")))</f>
        <v/>
      </c>
      <c r="K92" s="235" t="n"/>
      <c r="L92" s="235" t="n"/>
      <c r="M92" s="235" t="n"/>
      <c r="N92" s="197">
        <f>IF(I92="N/A","N/A",整体测评!O$8/M$73)</f>
        <v/>
      </c>
      <c r="O92" s="202">
        <f>IF(I92="N/A","N/A",I92*N92)</f>
        <v/>
      </c>
      <c r="P92" s="202">
        <f>IF(I92="N/A","N/A",N92-O92)</f>
        <v/>
      </c>
    </row>
    <row r="93" ht="14.25" customHeight="1">
      <c r="A93" s="280" t="n"/>
      <c r="B93" s="188" t="inlineStr">
        <is>
          <t>区域客户服务系统-市场监督管理厅通信信道</t>
        </is>
      </c>
      <c r="C93" s="183" t="inlineStr">
        <is>
          <t>适用</t>
        </is>
      </c>
      <c r="D93" s="183" t="inlineStr">
        <is>
          <t>×</t>
        </is>
      </c>
      <c r="E93" s="183" t="inlineStr">
        <is>
          <t>/</t>
        </is>
      </c>
      <c r="F93" s="183" t="inlineStr">
        <is>
          <t>/</t>
        </is>
      </c>
      <c r="G93" s="176" t="n">
        <v>1</v>
      </c>
      <c r="H93" s="176" t="n">
        <v>1</v>
      </c>
      <c r="I93" s="198">
        <f>IF(C93="不适用","N/A",IF(D93&lt;&gt;"√",0,IF((E93="√")*AND(F93="√"),1,IF((E93&lt;&gt;"√")*AND(F93="√"),0.5*G93,IF((E93="√")*AND(F93&lt;&gt;"√"),0.5*H93,IF((E93&lt;&gt;"√")*AND(F93&lt;&gt;"√"),0.25*G93*H93))))))</f>
        <v/>
      </c>
      <c r="J93" s="198">
        <f>IF(I93="N/A","不适用",IF(I93=1,"符合",IF(I93=0,"不符合","部分符合")))</f>
        <v/>
      </c>
      <c r="K93" s="235" t="n"/>
      <c r="L93" s="235" t="n"/>
      <c r="M93" s="235" t="n"/>
      <c r="N93" s="197">
        <f>IF(I93="N/A","N/A",整体测评!O$8/M$73)</f>
        <v/>
      </c>
      <c r="O93" s="202">
        <f>IF(I93="N/A","N/A",I93*N93)</f>
        <v/>
      </c>
      <c r="P93" s="202">
        <f>IF(I93="N/A","N/A",N93-O93)</f>
        <v/>
      </c>
    </row>
    <row r="94" ht="14.25" customHeight="1">
      <c r="A94" s="280" t="n"/>
      <c r="B94" s="188" t="inlineStr">
        <is>
          <t>区域客户服务系统-民政厅对接通信信道</t>
        </is>
      </c>
      <c r="C94" s="183" t="inlineStr">
        <is>
          <t>适用</t>
        </is>
      </c>
      <c r="D94" s="183" t="inlineStr">
        <is>
          <t>×</t>
        </is>
      </c>
      <c r="E94" s="183" t="inlineStr">
        <is>
          <t>/</t>
        </is>
      </c>
      <c r="F94" s="183" t="inlineStr">
        <is>
          <t>/</t>
        </is>
      </c>
      <c r="G94" s="176" t="n">
        <v>1</v>
      </c>
      <c r="H94" s="176" t="n">
        <v>1</v>
      </c>
      <c r="I94" s="198">
        <f>IF(C94="不适用","N/A",IF(D94&lt;&gt;"√",0,IF((E94="√")*AND(F94="√"),1,IF((E94&lt;&gt;"√")*AND(F94="√"),0.5*G94,IF((E94="√")*AND(F94&lt;&gt;"√"),0.5*H94,IF((E94&lt;&gt;"√")*AND(F94&lt;&gt;"√"),0.25*G94*H94))))))</f>
        <v/>
      </c>
      <c r="J94" s="198">
        <f>IF(I94="N/A","不适用",IF(I94=1,"符合",IF(I94=0,"不符合","部分符合")))</f>
        <v/>
      </c>
      <c r="K94" s="235" t="n"/>
      <c r="L94" s="235" t="n"/>
      <c r="M94" s="235" t="n"/>
      <c r="N94" s="197">
        <f>IF(I94="N/A","N/A",整体测评!O$8/M$73)</f>
        <v/>
      </c>
      <c r="O94" s="202">
        <f>IF(I94="N/A","N/A",I94*N94)</f>
        <v/>
      </c>
      <c r="P94" s="202">
        <f>IF(I94="N/A","N/A",N94-O94)</f>
        <v/>
      </c>
    </row>
    <row r="95" ht="14.25" customHeight="1">
      <c r="A95" s="280" t="n"/>
      <c r="B95" s="188" t="inlineStr">
        <is>
          <t>区域客户服务系统-总行对接通信信道</t>
        </is>
      </c>
      <c r="C95" s="183" t="inlineStr">
        <is>
          <t>适用</t>
        </is>
      </c>
      <c r="D95" s="183" t="inlineStr">
        <is>
          <t>√</t>
        </is>
      </c>
      <c r="E95" s="183" t="inlineStr">
        <is>
          <t>×</t>
        </is>
      </c>
      <c r="F95" s="183" t="inlineStr">
        <is>
          <t>×</t>
        </is>
      </c>
      <c r="G95" s="176" t="n">
        <v>1</v>
      </c>
      <c r="H95" s="176" t="n">
        <v>1</v>
      </c>
      <c r="I95" s="198">
        <f>IF(C95="不适用","N/A",IF(D95&lt;&gt;"√",0,IF((E95="√")*AND(F95="√"),1,IF((E95&lt;&gt;"√")*AND(F95="√"),0.5*G95,IF((E95="√")*AND(F95&lt;&gt;"√"),0.5*H95,IF((E95&lt;&gt;"√")*AND(F95&lt;&gt;"√"),0.25*G95*H95))))))</f>
        <v/>
      </c>
      <c r="J95" s="198">
        <f>IF(I95="N/A","不适用",IF(I95=1,"符合",IF(I95=0,"不符合","部分符合")))</f>
        <v/>
      </c>
      <c r="K95" s="235" t="n"/>
      <c r="L95" s="235" t="n"/>
      <c r="M95" s="235" t="n"/>
      <c r="N95" s="197">
        <f>IF(I95="N/A","N/A",整体测评!O$8/M$73)</f>
        <v/>
      </c>
      <c r="O95" s="202">
        <f>IF(I95="N/A","N/A",I95*N95)</f>
        <v/>
      </c>
      <c r="P95" s="202">
        <f>IF(I95="N/A","N/A",N95-O95)</f>
        <v/>
      </c>
    </row>
    <row r="96" ht="14.25" customHeight="1">
      <c r="A96" s="280" t="n"/>
      <c r="B96" s="188" t="inlineStr">
        <is>
          <t>区域客户服务系统-燕宝基金会对接通信信道</t>
        </is>
      </c>
      <c r="C96" s="183" t="inlineStr">
        <is>
          <t>适用</t>
        </is>
      </c>
      <c r="D96" s="183" t="inlineStr">
        <is>
          <t>×</t>
        </is>
      </c>
      <c r="E96" s="183" t="inlineStr">
        <is>
          <t>/</t>
        </is>
      </c>
      <c r="F96" s="183" t="inlineStr">
        <is>
          <t>/</t>
        </is>
      </c>
      <c r="G96" s="176" t="n">
        <v>1</v>
      </c>
      <c r="H96" s="176" t="n">
        <v>1</v>
      </c>
      <c r="I96" s="198">
        <f>IF(C96="不适用","N/A",IF(D96&lt;&gt;"√",0,IF((E96="√")*AND(F96="√"),1,IF((E96&lt;&gt;"√")*AND(F96="√"),0.5*G96,IF((E96="√")*AND(F96&lt;&gt;"√"),0.5*H96,IF((E96&lt;&gt;"√")*AND(F96&lt;&gt;"√"),0.25*G96*H96))))))</f>
        <v/>
      </c>
      <c r="J96" s="198">
        <f>IF(I96="N/A","不适用",IF(I96=1,"符合",IF(I96=0,"不符合","部分符合")))</f>
        <v/>
      </c>
      <c r="K96" s="235" t="n"/>
      <c r="L96" s="235" t="n"/>
      <c r="M96" s="235" t="n"/>
      <c r="N96" s="197">
        <f>IF(I96="N/A","N/A",整体测评!O$8/M$73)</f>
        <v/>
      </c>
      <c r="O96" s="202">
        <f>IF(I96="N/A","N/A",I96*N96)</f>
        <v/>
      </c>
      <c r="P96" s="202">
        <f>IF(I96="N/A","N/A",N96-O96)</f>
        <v/>
      </c>
    </row>
    <row r="97" ht="14.25" customHeight="1">
      <c r="A97" s="280" t="n"/>
      <c r="B97" s="188" t="inlineStr">
        <is>
          <t>区域客户服务系统-银保信对接通信信道</t>
        </is>
      </c>
      <c r="C97" s="183" t="inlineStr">
        <is>
          <t>适用</t>
        </is>
      </c>
      <c r="D97" s="183" t="inlineStr">
        <is>
          <t>×</t>
        </is>
      </c>
      <c r="E97" s="183" t="inlineStr">
        <is>
          <t>/</t>
        </is>
      </c>
      <c r="F97" s="183" t="inlineStr">
        <is>
          <t>/</t>
        </is>
      </c>
      <c r="G97" s="176" t="n">
        <v>1</v>
      </c>
      <c r="H97" s="176" t="n">
        <v>1</v>
      </c>
      <c r="I97" s="198">
        <f>IF(C97="不适用","N/A",IF(D97&lt;&gt;"√",0,IF((E97="√")*AND(F97="√"),1,IF((E97&lt;&gt;"√")*AND(F97="√"),0.5*G97,IF((E97="√")*AND(F97&lt;&gt;"√"),0.5*H97,IF((E97&lt;&gt;"√")*AND(F97&lt;&gt;"√"),0.25*G97*H97))))))</f>
        <v/>
      </c>
      <c r="J97" s="198">
        <f>IF(I97="N/A","不适用",IF(I97=1,"符合",IF(I97=0,"不符合","部分符合")))</f>
        <v/>
      </c>
      <c r="K97" s="235" t="n"/>
      <c r="L97" s="235" t="n"/>
      <c r="M97" s="235" t="n"/>
      <c r="N97" s="197">
        <f>IF(I97="N/A","N/A",整体测评!O$8/M$73)</f>
        <v/>
      </c>
      <c r="O97" s="202">
        <f>IF(I97="N/A","N/A",I97*N97)</f>
        <v/>
      </c>
      <c r="P97" s="202">
        <f>IF(I97="N/A","N/A",N97-O97)</f>
        <v/>
      </c>
    </row>
    <row r="98" ht="14.25" customHeight="1">
      <c r="A98" s="280" t="n"/>
      <c r="B98" s="188" t="inlineStr">
        <is>
          <t>区域客户服务系统-金惠对接通信信道</t>
        </is>
      </c>
      <c r="C98" s="183" t="inlineStr">
        <is>
          <t>适用</t>
        </is>
      </c>
      <c r="D98" s="183" t="inlineStr">
        <is>
          <t>×</t>
        </is>
      </c>
      <c r="E98" s="183" t="inlineStr">
        <is>
          <t>/</t>
        </is>
      </c>
      <c r="F98" s="183" t="inlineStr">
        <is>
          <t>/</t>
        </is>
      </c>
      <c r="G98" s="176" t="n">
        <v>1</v>
      </c>
      <c r="H98" s="176" t="n">
        <v>1</v>
      </c>
      <c r="I98" s="198">
        <f>IF(C98="不适用","N/A",IF(D98&lt;&gt;"√",0,IF((E98="√")*AND(F98="√"),1,IF((E98&lt;&gt;"√")*AND(F98="√"),0.5*G98,IF((E98="√")*AND(F98&lt;&gt;"√"),0.5*H98,IF((E98&lt;&gt;"√")*AND(F98&lt;&gt;"√"),0.25*G98*H98))))))</f>
        <v/>
      </c>
      <c r="J98" s="198">
        <f>IF(I98="N/A","不适用",IF(I98=1,"符合",IF(I98=0,"不符合","部分符合")))</f>
        <v/>
      </c>
      <c r="K98" s="235" t="n"/>
      <c r="L98" s="235" t="n"/>
      <c r="M98" s="235" t="n"/>
      <c r="N98" s="197">
        <f>IF(I98="N/A","N/A",整体测评!O$8/M$73)</f>
        <v/>
      </c>
      <c r="O98" s="202">
        <f>IF(I98="N/A","N/A",I98*N98)</f>
        <v/>
      </c>
      <c r="P98" s="202">
        <f>IF(I98="N/A","N/A",N98-O98)</f>
        <v/>
      </c>
    </row>
    <row r="99" ht="14.25" customHeight="1">
      <c r="A99" s="280" t="n"/>
      <c r="B99" s="188" t="inlineStr">
        <is>
          <t>区域客户服务系统-对接人行账户管控通信信道</t>
        </is>
      </c>
      <c r="C99" s="183" t="inlineStr">
        <is>
          <t>适用</t>
        </is>
      </c>
      <c r="D99" s="183" t="inlineStr">
        <is>
          <t>×</t>
        </is>
      </c>
      <c r="E99" s="183" t="inlineStr">
        <is>
          <t>/</t>
        </is>
      </c>
      <c r="F99" s="183" t="inlineStr">
        <is>
          <t>/</t>
        </is>
      </c>
      <c r="G99" s="176" t="n">
        <v>1</v>
      </c>
      <c r="H99" s="176" t="n">
        <v>1</v>
      </c>
      <c r="I99" s="198">
        <f>IF(C99="不适用","N/A",IF(D99&lt;&gt;"√",0,IF((E99="√")*AND(F99="√"),1,IF((E99&lt;&gt;"√")*AND(F99="√"),0.5*G99,IF((E99="√")*AND(F99&lt;&gt;"√"),0.5*H99,IF((E99&lt;&gt;"√")*AND(F99&lt;&gt;"√"),0.25*G99*H99))))))</f>
        <v/>
      </c>
      <c r="J99" s="198">
        <f>IF(I99="N/A","不适用",IF(I99=1,"符合",IF(I99=0,"不符合","部分符合")))</f>
        <v/>
      </c>
      <c r="K99" s="235" t="n"/>
      <c r="L99" s="235" t="n"/>
      <c r="M99" s="235" t="n"/>
      <c r="N99" s="197">
        <f>IF(I99="N/A","N/A",整体测评!O$8/M$73)</f>
        <v/>
      </c>
      <c r="O99" s="202">
        <f>IF(I99="N/A","N/A",I99*N99)</f>
        <v/>
      </c>
      <c r="P99" s="202">
        <f>IF(I99="N/A","N/A",N99-O99)</f>
        <v/>
      </c>
    </row>
    <row r="100" ht="14.25" customHeight="1">
      <c r="A100" s="280" t="n"/>
      <c r="B100" s="188" t="inlineStr">
        <is>
          <t>区域客户服务系统-慧聚宁夏小程序通道</t>
        </is>
      </c>
      <c r="C100" s="183" t="inlineStr">
        <is>
          <t>适用</t>
        </is>
      </c>
      <c r="D100" s="183" t="inlineStr">
        <is>
          <t>√</t>
        </is>
      </c>
      <c r="E100" s="183" t="inlineStr">
        <is>
          <t>×</t>
        </is>
      </c>
      <c r="F100" s="183" t="inlineStr">
        <is>
          <t>×</t>
        </is>
      </c>
      <c r="G100" s="176" t="n">
        <v>1</v>
      </c>
      <c r="H100" s="176" t="n">
        <v>1</v>
      </c>
      <c r="I100" s="198">
        <f>IF(C100="不适用","N/A",IF(D100&lt;&gt;"√",0,IF((E100="√")*AND(F100="√"),1,IF((E100&lt;&gt;"√")*AND(F100="√"),0.5*G100,IF((E100="√")*AND(F100&lt;&gt;"√"),0.5*H100,IF((E100&lt;&gt;"√")*AND(F100&lt;&gt;"√"),0.25*G100*H100))))))</f>
        <v/>
      </c>
      <c r="J100" s="198">
        <f>IF(I100="N/A","不适用",IF(I100=1,"符合",IF(I100=0,"不符合","部分符合")))</f>
        <v/>
      </c>
      <c r="K100" s="235" t="n"/>
      <c r="L100" s="235" t="n"/>
      <c r="M100" s="235" t="n"/>
      <c r="N100" s="197">
        <f>IF(I100="N/A","N/A",整体测评!O$8/M$73)</f>
        <v/>
      </c>
      <c r="O100" s="202">
        <f>IF(I100="N/A","N/A",I100*N100)</f>
        <v/>
      </c>
      <c r="P100" s="202">
        <f>IF(I100="N/A","N/A",N100-O100)</f>
        <v/>
      </c>
    </row>
    <row r="101" ht="14.25" customHeight="1">
      <c r="A101" s="280" t="n"/>
      <c r="B101" s="188" t="inlineStr">
        <is>
          <t>穿山甲平台P5通信信道</t>
        </is>
      </c>
      <c r="C101" s="183" t="inlineStr">
        <is>
          <t>适用</t>
        </is>
      </c>
      <c r="D101" s="183" t="inlineStr">
        <is>
          <t>×</t>
        </is>
      </c>
      <c r="E101" s="183" t="inlineStr">
        <is>
          <t>/</t>
        </is>
      </c>
      <c r="F101" s="183" t="inlineStr">
        <is>
          <t>/</t>
        </is>
      </c>
      <c r="G101" s="176" t="n">
        <v>1</v>
      </c>
      <c r="H101" s="176" t="n">
        <v>1</v>
      </c>
      <c r="I101" s="198">
        <f>IF(C101="不适用","N/A",IF(D101&lt;&gt;"√",0,IF((E101="√")*AND(F101="√"),1,IF((E101&lt;&gt;"√")*AND(F101="√"),0.5*G101,IF((E101="√")*AND(F101&lt;&gt;"√"),0.5*H101,IF((E101&lt;&gt;"√")*AND(F101&lt;&gt;"√"),0.25*G101*H101))))))</f>
        <v/>
      </c>
      <c r="J101" s="198">
        <f>IF(I101="N/A","不适用",IF(I101=1,"符合",IF(I101=0,"不符合","部分符合")))</f>
        <v/>
      </c>
      <c r="K101" s="235" t="n"/>
      <c r="L101" s="235" t="n"/>
      <c r="M101" s="235" t="n"/>
      <c r="N101" s="197">
        <f>IF(I101="N/A","N/A",整体测评!O$8/M$73)</f>
        <v/>
      </c>
      <c r="O101" s="202">
        <f>IF(I101="N/A","N/A",I101*N101)</f>
        <v/>
      </c>
      <c r="P101" s="202">
        <f>IF(I101="N/A","N/A",N101-O101)</f>
        <v/>
      </c>
    </row>
    <row r="102" ht="14.25" customHeight="1">
      <c r="A102" s="280" t="n"/>
      <c r="B102" s="188" t="inlineStr">
        <is>
          <t>外部数据管理系统-建业贷P8通信信道</t>
        </is>
      </c>
      <c r="C102" s="183" t="inlineStr">
        <is>
          <t>适用</t>
        </is>
      </c>
      <c r="D102" s="183" t="inlineStr">
        <is>
          <t>×</t>
        </is>
      </c>
      <c r="E102" s="183" t="inlineStr">
        <is>
          <t>/</t>
        </is>
      </c>
      <c r="F102" s="183" t="inlineStr">
        <is>
          <t>/</t>
        </is>
      </c>
      <c r="G102" s="176" t="n">
        <v>1</v>
      </c>
      <c r="H102" s="176" t="n">
        <v>1</v>
      </c>
      <c r="I102" s="198">
        <f>IF(C102="不适用","N/A",IF(D102&lt;&gt;"√",0,IF((E102="√")*AND(F102="√"),1,IF((E102&lt;&gt;"√")*AND(F102="√"),0.5*G102,IF((E102="√")*AND(F102&lt;&gt;"√"),0.5*H102,IF((E102&lt;&gt;"√")*AND(F102&lt;&gt;"√"),0.25*G102*H102))))))</f>
        <v/>
      </c>
      <c r="J102" s="198">
        <f>IF(I102="N/A","不适用",IF(I102=1,"符合",IF(I102=0,"不符合","部分符合")))</f>
        <v/>
      </c>
      <c r="K102" s="235" t="n"/>
      <c r="L102" s="235" t="n"/>
      <c r="M102" s="235" t="n"/>
      <c r="N102" s="197">
        <f>IF(I102="N/A","N/A",整体测评!O$8/M$73)</f>
        <v/>
      </c>
      <c r="O102" s="202">
        <f>IF(I102="N/A","N/A",I102*N102)</f>
        <v/>
      </c>
      <c r="P102" s="202">
        <f>IF(I102="N/A","N/A",N102-O102)</f>
        <v/>
      </c>
    </row>
    <row r="103" ht="14.25" customHeight="1">
      <c r="A103" s="280" t="n"/>
      <c r="B103" s="188" t="inlineStr">
        <is>
          <t>智慧社保系统-对接人社局通信信道</t>
        </is>
      </c>
      <c r="C103" s="183" t="inlineStr">
        <is>
          <t>适用</t>
        </is>
      </c>
      <c r="D103" s="183" t="inlineStr">
        <is>
          <t>×</t>
        </is>
      </c>
      <c r="E103" s="183" t="inlineStr">
        <is>
          <t>/</t>
        </is>
      </c>
      <c r="F103" s="183" t="inlineStr">
        <is>
          <t>/</t>
        </is>
      </c>
      <c r="G103" s="176" t="n">
        <v>1</v>
      </c>
      <c r="H103" s="176" t="n">
        <v>1</v>
      </c>
      <c r="I103" s="198">
        <f>IF(C103="不适用","N/A",IF(D103&lt;&gt;"√",0,IF((E103="√")*AND(F103="√"),1,IF((E103&lt;&gt;"√")*AND(F103="√"),0.5*G103,IF((E103="√")*AND(F103&lt;&gt;"√"),0.5*H103,IF((E103&lt;&gt;"√")*AND(F103&lt;&gt;"√"),0.25*G103*H103))))))</f>
        <v/>
      </c>
      <c r="J103" s="198">
        <f>IF(I103="N/A","不适用",IF(I103=1,"符合",IF(I103=0,"不符合","部分符合")))</f>
        <v/>
      </c>
      <c r="K103" s="235" t="n"/>
      <c r="L103" s="235" t="n"/>
      <c r="M103" s="235" t="n"/>
      <c r="N103" s="197">
        <f>IF(I103="N/A","N/A",整体测评!O$8/M$73)</f>
        <v/>
      </c>
      <c r="O103" s="202">
        <f>IF(I103="N/A","N/A",I103*N103)</f>
        <v/>
      </c>
      <c r="P103" s="202">
        <f>IF(I103="N/A","N/A",N103-O103)</f>
        <v/>
      </c>
    </row>
    <row r="104" ht="14.25" customHeight="1">
      <c r="A104" s="280" t="n"/>
      <c r="B104" s="188" t="inlineStr">
        <is>
          <t>智慧社保系统-对接医保局通信信道</t>
        </is>
      </c>
      <c r="C104" s="183" t="inlineStr">
        <is>
          <t>适用</t>
        </is>
      </c>
      <c r="D104" s="183" t="inlineStr">
        <is>
          <t>×</t>
        </is>
      </c>
      <c r="E104" s="183" t="inlineStr">
        <is>
          <t>/</t>
        </is>
      </c>
      <c r="F104" s="183" t="inlineStr">
        <is>
          <t>/</t>
        </is>
      </c>
      <c r="G104" s="176" t="n">
        <v>1</v>
      </c>
      <c r="H104" s="176" t="n">
        <v>1</v>
      </c>
      <c r="I104" s="198">
        <f>IF(C104="不适用","N/A",IF(D104&lt;&gt;"√",0,IF((E104="√")*AND(F104="√"),1,IF((E104&lt;&gt;"√")*AND(F104="√"),0.5*G104,IF((E104="√")*AND(F104&lt;&gt;"√"),0.5*H104,IF((E104&lt;&gt;"√")*AND(F104&lt;&gt;"√"),0.25*G104*H104))))))</f>
        <v/>
      </c>
      <c r="J104" s="198">
        <f>IF(I104="N/A","不适用",IF(I104=1,"符合",IF(I104=0,"不符合","部分符合")))</f>
        <v/>
      </c>
      <c r="K104" s="235" t="n"/>
      <c r="L104" s="235" t="n"/>
      <c r="M104" s="235" t="n"/>
      <c r="N104" s="197">
        <f>IF(I104="N/A","N/A",整体测评!O$8/M$73)</f>
        <v/>
      </c>
      <c r="O104" s="202">
        <f>IF(I104="N/A","N/A",I104*N104)</f>
        <v/>
      </c>
      <c r="P104" s="202">
        <f>IF(I104="N/A","N/A",N104-O104)</f>
        <v/>
      </c>
    </row>
    <row r="105" ht="14.25" customHeight="1">
      <c r="A105" s="280" t="n"/>
      <c r="B105" s="203" t="inlineStr">
        <is>
          <t>员工渠道系统通信信道</t>
        </is>
      </c>
      <c r="C105" s="183" t="inlineStr">
        <is>
          <t>适用</t>
        </is>
      </c>
      <c r="D105" s="183" t="inlineStr">
        <is>
          <t>×</t>
        </is>
      </c>
      <c r="E105" s="183" t="inlineStr">
        <is>
          <t>/</t>
        </is>
      </c>
      <c r="F105" s="183" t="inlineStr">
        <is>
          <t>/</t>
        </is>
      </c>
      <c r="G105" s="176" t="n">
        <v>1</v>
      </c>
      <c r="H105" s="176" t="n">
        <v>1</v>
      </c>
      <c r="I105" s="198">
        <f>IF(C105="不适用","N/A",IF(D105&lt;&gt;"√",0,IF((E105="√")*AND(F105="√"),1,IF((E105&lt;&gt;"√")*AND(F105="√"),0.5*G105,IF((E105="√")*AND(F105&lt;&gt;"√"),0.5*H105,IF((E105&lt;&gt;"√")*AND(F105&lt;&gt;"√"),0.25*G105*H105))))))</f>
        <v/>
      </c>
      <c r="J105" s="198">
        <f>IF(I105="N/A","不适用",IF(I105=1,"符合",IF(I105=0,"不符合","部分符合")))</f>
        <v/>
      </c>
      <c r="K105" s="235" t="n"/>
      <c r="L105" s="235" t="n"/>
      <c r="M105" s="235" t="n"/>
      <c r="N105" s="197">
        <f>IF(I105="N/A","N/A",整体测评!O$8/M$73)</f>
        <v/>
      </c>
      <c r="O105" s="202">
        <f>IF(I105="N/A","N/A",I105*N105)</f>
        <v/>
      </c>
      <c r="P105" s="202">
        <f>IF(I105="N/A","N/A",N105-O105)</f>
        <v/>
      </c>
    </row>
    <row r="106" ht="18" customHeight="1">
      <c r="A106" s="278" t="n"/>
      <c r="B106" s="204" t="inlineStr">
        <is>
          <t>勿删</t>
        </is>
      </c>
      <c r="C106" s="182" t="inlineStr">
        <is>
          <t>不适用</t>
        </is>
      </c>
      <c r="D106" s="183" t="inlineStr">
        <is>
          <t>√</t>
        </is>
      </c>
      <c r="E106" s="183" t="inlineStr">
        <is>
          <t>√</t>
        </is>
      </c>
      <c r="F106" s="183" t="inlineStr">
        <is>
          <t>√</t>
        </is>
      </c>
      <c r="G106" s="183" t="n">
        <v>1</v>
      </c>
      <c r="H106" s="183" t="n">
        <v>1</v>
      </c>
      <c r="I106" s="205">
        <f>IF(C106="不适用","N/A",IF(D106&lt;&gt;"√",0,IF((E106="√")*AND(F106="√"),1,IF((E106&lt;&gt;"√")*AND(F106="√"),0.5*G106,IF((E106="√")*AND(F106&lt;&gt;"√"),0.5*H106,IF((E106&lt;&gt;"√")*AND(F106&lt;&gt;"√"),0.25*G106*H106))))))</f>
        <v/>
      </c>
      <c r="J106" s="205">
        <f>IF(I106="N/A","不适用",IF(I106=1,"符合",IF(I106=0,"不符合","部分符合")))</f>
        <v/>
      </c>
      <c r="K106" s="229" t="n"/>
      <c r="L106" s="229" t="n"/>
      <c r="M106" s="229" t="n"/>
      <c r="N106" s="197">
        <f>IF(I106="N/A","N/A",整体测评!O$8/M$73)</f>
        <v/>
      </c>
      <c r="O106" s="202">
        <f>IF(I106="N/A","N/A",I106*N106)</f>
        <v/>
      </c>
      <c r="P106" s="202">
        <f>IF(I106="N/A","N/A",N106-O106)</f>
        <v/>
      </c>
    </row>
    <row r="107" ht="13.5" customHeight="1">
      <c r="A107" s="196" t="inlineStr">
        <is>
          <t>网络边界访问控制信息的完整性</t>
        </is>
      </c>
      <c r="B107" s="194" t="inlineStr">
        <is>
          <t>所有通道</t>
        </is>
      </c>
      <c r="C107" s="183" t="inlineStr">
        <is>
          <t>适用</t>
        </is>
      </c>
      <c r="D107" s="183" t="inlineStr">
        <is>
          <t>×</t>
        </is>
      </c>
      <c r="E107" s="183" t="n"/>
      <c r="F107" s="183" t="n"/>
      <c r="G107" s="183" t="n">
        <v>1</v>
      </c>
      <c r="H107" s="183" t="n">
        <v>1</v>
      </c>
      <c r="I107" s="205">
        <f>IF(C107="不适用","N/A",IF(D107&lt;&gt;"√",0,IF((E107="√")*AND(F107="√"),1,IF((E107&lt;&gt;"√")*AND(F107="√"),0.5*G107,IF((E107="√")*AND(F107&lt;&gt;"√"),0.5*H107,IF((E107&lt;&gt;"√")*AND(F107&lt;&gt;"√"),0.25*G107*H107))))))</f>
        <v/>
      </c>
      <c r="J107" s="205">
        <f>IF(I107="N/A","不适用",IF(I107=1,"符合",IF(I107=0,"不符合","部分符合")))</f>
        <v/>
      </c>
      <c r="K107" s="281">
        <f>IF(COUNTIF($I107:$I108,"N/A")=COUNTA($I107:$I108),"N/A",AVERAGE($I107:$I108))</f>
        <v/>
      </c>
      <c r="L107" s="200">
        <f>IF(K107="N/A","不适用",IF(K107=1,"符合",IF(K107=0,"不符合","部分符合")))</f>
        <v/>
      </c>
      <c r="M107" s="205">
        <f>(COUNTA($C107:$C108)-COUNTIF($C107:$C108,"不适用"))</f>
        <v/>
      </c>
      <c r="N107" s="197">
        <f>IF(I107="N/A","N/A",整体测评!O$9/M$107)</f>
        <v/>
      </c>
      <c r="O107" s="202">
        <f>IF(I107="N/A","N/A",I107*N107)</f>
        <v/>
      </c>
      <c r="P107" s="202">
        <f>IF(I107="N/A","N/A",N107-O107)</f>
        <v/>
      </c>
    </row>
    <row r="108" ht="14.6" customHeight="1">
      <c r="A108" s="278" t="n"/>
      <c r="B108" s="204" t="inlineStr">
        <is>
          <t>勿删</t>
        </is>
      </c>
      <c r="C108" s="182" t="inlineStr">
        <is>
          <t>不适用</t>
        </is>
      </c>
      <c r="D108" s="183" t="inlineStr">
        <is>
          <t>√</t>
        </is>
      </c>
      <c r="E108" s="183" t="inlineStr">
        <is>
          <t>√</t>
        </is>
      </c>
      <c r="F108" s="183" t="inlineStr">
        <is>
          <t>√</t>
        </is>
      </c>
      <c r="G108" s="183" t="n">
        <v>1</v>
      </c>
      <c r="H108" s="183" t="n">
        <v>1</v>
      </c>
      <c r="I108" s="205">
        <f>IF(C108="不适用","N/A",IF(D108&lt;&gt;"√",0,IF((E108="√")*AND(F108="√"),1,IF((E108&lt;&gt;"√")*AND(F108="√"),0.5*G108,IF((E108="√")*AND(F108&lt;&gt;"√"),0.5*H108,IF((E108&lt;&gt;"√")*AND(F108&lt;&gt;"√"),0.25*G108*H108))))))</f>
        <v/>
      </c>
      <c r="J108" s="205">
        <f>IF(I108="N/A","不适用",IF(I108=1,"符合",IF(I108=0,"不符合","部分符合")))</f>
        <v/>
      </c>
      <c r="K108" s="229" t="n"/>
      <c r="L108" s="229" t="n"/>
      <c r="M108" s="229" t="n"/>
      <c r="N108" s="197">
        <f>IF(I108="N/A","N/A",整体测评!O$9/M$107)</f>
        <v/>
      </c>
      <c r="O108" s="202">
        <f>IF(I108="N/A","N/A",I108*N108)</f>
        <v/>
      </c>
      <c r="P108" s="202">
        <f>IF(I108="N/A","N/A",N108-O108)</f>
        <v/>
      </c>
    </row>
    <row r="109" ht="14.6" customHeight="1">
      <c r="A109" s="196" t="inlineStr">
        <is>
          <t>安全接入认证</t>
        </is>
      </c>
      <c r="B109" s="194" t="inlineStr">
        <is>
          <t>所有通道</t>
        </is>
      </c>
      <c r="C109" s="183" t="inlineStr">
        <is>
          <t>不适用</t>
        </is>
      </c>
      <c r="D109" s="183" t="n"/>
      <c r="E109" s="183" t="n"/>
      <c r="F109" s="183" t="n"/>
      <c r="G109" s="183" t="n">
        <v>1</v>
      </c>
      <c r="H109" s="183" t="n">
        <v>1</v>
      </c>
      <c r="I109" s="205">
        <f>IF(C109="不适用","N/A",IF(D109&lt;&gt;"√",0,IF((E109="√")*AND(F109="√"),1,IF((E109&lt;&gt;"√")*AND(F109="√"),0.5*G109,IF((E109="√")*AND(F109&lt;&gt;"√"),0.5*H109,IF((E109&lt;&gt;"√")*AND(F109&lt;&gt;"√"),0.25*G109*H109))))))</f>
        <v/>
      </c>
      <c r="J109" s="205">
        <f>IF(I109="N/A","不适用",IF(I109=1,"符合",IF(I109=0,"不符合","部分符合")))</f>
        <v/>
      </c>
      <c r="K109" s="281">
        <f>IF(COUNTIF($I109:$I110,"N/A")=COUNTA($I109:$I110),"N/A",AVERAGE($I109:$I110))</f>
        <v/>
      </c>
      <c r="L109" s="200">
        <f>IF(K109="N/A","不适用",IF(K109=1,"符合",IF(K109=0,"不符合","部分符合")))</f>
        <v/>
      </c>
      <c r="M109" s="205">
        <f>(COUNTA($C109:$C110)-COUNTIF($C109:$C110,"不适用"))</f>
        <v/>
      </c>
      <c r="N109" s="197">
        <f>IF(I109="N/A","N/A",整体测评!O$10/M$109)</f>
        <v/>
      </c>
      <c r="O109" s="202">
        <f>IF(I109="N/A","N/A",I109*N109)</f>
        <v/>
      </c>
      <c r="P109" s="202">
        <f>IF(I109="N/A","N/A",N109-O109)</f>
        <v/>
      </c>
    </row>
    <row r="110" ht="14.6" customHeight="1">
      <c r="A110" s="278" t="n"/>
      <c r="B110" s="204" t="inlineStr">
        <is>
          <t>勿删</t>
        </is>
      </c>
      <c r="C110" s="182" t="inlineStr">
        <is>
          <t>不适用</t>
        </is>
      </c>
      <c r="D110" s="183" t="n"/>
      <c r="E110" s="183" t="n"/>
      <c r="F110" s="183" t="n"/>
      <c r="G110" s="183" t="n">
        <v>1</v>
      </c>
      <c r="H110" s="183" t="n">
        <v>1</v>
      </c>
      <c r="I110" s="205">
        <f>IF(C110="不适用","N/A",IF(D110&lt;&gt;"√",0,IF((E110="√")*AND(F110="√"),1,IF((E110&lt;&gt;"√")*AND(F110="√"),0.5*G110,IF((E110="√")*AND(F110&lt;&gt;"√"),0.5*H110,IF((E110&lt;&gt;"√")*AND(F110&lt;&gt;"√"),0.25*G110*H110))))))</f>
        <v/>
      </c>
      <c r="J110" s="205">
        <f>IF(I110="N/A","不适用",IF(I110=1,"符合",IF(I110=0,"不符合","部分符合")))</f>
        <v/>
      </c>
      <c r="K110" s="229" t="n"/>
      <c r="L110" s="229" t="n"/>
      <c r="M110" s="229" t="n"/>
      <c r="N110" s="197">
        <f>IF(I110="N/A","N/A",整体测评!O$10/M$109)</f>
        <v/>
      </c>
      <c r="O110" s="202">
        <f>IF(I110="N/A","N/A",I110*N110)</f>
        <v/>
      </c>
      <c r="P110" s="202">
        <f>IF(I110="N/A","N/A",N110-O110)</f>
        <v/>
      </c>
    </row>
  </sheetData>
  <mergeCells count="35">
    <mergeCell ref="K39:K72"/>
    <mergeCell ref="L3:L4"/>
    <mergeCell ref="B3:B4"/>
    <mergeCell ref="N3:N4"/>
    <mergeCell ref="K73:K106"/>
    <mergeCell ref="M107:M108"/>
    <mergeCell ref="K109:K110"/>
    <mergeCell ref="A3:A4"/>
    <mergeCell ref="M109:M110"/>
    <mergeCell ref="A39:A72"/>
    <mergeCell ref="A1:L2"/>
    <mergeCell ref="I3:I4"/>
    <mergeCell ref="M3:M4"/>
    <mergeCell ref="A73:A106"/>
    <mergeCell ref="K5:K38"/>
    <mergeCell ref="M5:M38"/>
    <mergeCell ref="R4:U4"/>
    <mergeCell ref="M39:M72"/>
    <mergeCell ref="M73:M106"/>
    <mergeCell ref="L109:L110"/>
    <mergeCell ref="A109:A110"/>
    <mergeCell ref="P3:P4"/>
    <mergeCell ref="K107:K108"/>
    <mergeCell ref="J3:J4"/>
    <mergeCell ref="D3:H3"/>
    <mergeCell ref="L39:L72"/>
    <mergeCell ref="K3:K4"/>
    <mergeCell ref="C3:C4"/>
    <mergeCell ref="O3:O4"/>
    <mergeCell ref="L73:L106"/>
    <mergeCell ref="L107:L108"/>
    <mergeCell ref="L5:L38"/>
    <mergeCell ref="A107:A108"/>
    <mergeCell ref="A5:A38"/>
    <mergeCell ref="Q5:T35"/>
  </mergeCells>
  <dataValidations count="4">
    <dataValidation sqref="H5:H110" showDropDown="0" showInputMessage="1" showErrorMessage="1" allowBlank="1" type="list">
      <formula1>"1.2,1"</formula1>
    </dataValidation>
    <dataValidation sqref="C5:C110" showDropDown="0" showInputMessage="1" showErrorMessage="1" allowBlank="1" type="list">
      <formula1>"适用,不适用"</formula1>
    </dataValidation>
    <dataValidation sqref="G5:G110" showDropDown="0" showInputMessage="1" showErrorMessage="1" allowBlank="1" type="list">
      <formula1>"0.2,0.5,1"</formula1>
    </dataValidation>
    <dataValidation sqref="D5:F110" showDropDown="0" showInputMessage="1" showErrorMessage="1" allowBlank="1" type="list">
      <formula1>"√,×,/"</formula1>
    </dataValidation>
  </dataValidation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8"/>
  <sheetViews>
    <sheetView topLeftCell="A30" zoomScaleNormal="100" workbookViewId="0">
      <selection activeCell="I64" sqref="I64"/>
    </sheetView>
  </sheetViews>
  <sheetFormatPr baseColWidth="8" defaultColWidth="9.0703125" defaultRowHeight="14.15"/>
  <cols>
    <col width="21.5703125" customWidth="1" style="13" min="1" max="1"/>
    <col width="14" customWidth="1" style="13" min="2" max="2"/>
    <col width="13.5" customWidth="1" style="13" min="3" max="3"/>
    <col width="13.35546875" customWidth="1" style="13" min="4" max="4"/>
    <col width="15.5703125" customWidth="1" style="13" min="5" max="5"/>
    <col width="15.0703125" customWidth="1" style="13" min="6" max="8"/>
    <col width="14.85546875" customWidth="1" style="13" min="9" max="9"/>
    <col width="17.85546875" customWidth="1" style="13" min="10" max="10"/>
    <col width="9.0703125" customWidth="1" style="13" min="11" max="16384"/>
  </cols>
  <sheetData>
    <row r="1" customFormat="1" s="15">
      <c r="A1" s="207" t="inlineStr">
        <is>
          <t>设备和计算安全</t>
        </is>
      </c>
      <c r="B1" s="271" t="n"/>
      <c r="C1" s="271" t="n"/>
      <c r="D1" s="271" t="n"/>
      <c r="E1" s="271" t="n"/>
      <c r="F1" s="271" t="n"/>
      <c r="G1" s="271" t="n"/>
      <c r="H1" s="271" t="n"/>
      <c r="I1" s="271" t="n"/>
      <c r="J1" s="271" t="n"/>
      <c r="K1" s="271" t="n"/>
      <c r="L1" s="272" t="n"/>
      <c r="M1" s="191" t="n"/>
      <c r="N1" s="191" t="n"/>
      <c r="O1" s="191" t="n"/>
      <c r="P1" s="191" t="n"/>
    </row>
    <row r="2" ht="14.6" customHeigh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5" t="n"/>
      <c r="M2" s="191" t="n"/>
      <c r="N2" s="191" t="n"/>
      <c r="O2" s="191" t="n"/>
      <c r="P2" s="191" t="n"/>
    </row>
    <row r="3" ht="14.5" customHeight="1">
      <c r="A3" s="173" t="inlineStr">
        <is>
          <t>测评单元</t>
        </is>
      </c>
      <c r="B3" s="173" t="inlineStr">
        <is>
          <t>测评对象</t>
        </is>
      </c>
      <c r="C3" s="173" t="inlineStr">
        <is>
          <t>适用情况</t>
        </is>
      </c>
      <c r="D3" s="173" t="inlineStr">
        <is>
          <t>涉及情况</t>
        </is>
      </c>
      <c r="E3" s="276" t="n"/>
      <c r="F3" s="276" t="n"/>
      <c r="G3" s="276" t="n"/>
      <c r="H3" s="277" t="n"/>
      <c r="I3" s="174" t="inlineStr">
        <is>
          <t>分值
Si,j,k</t>
        </is>
      </c>
      <c r="J3" s="174" t="inlineStr">
        <is>
          <t>符合情况</t>
        </is>
      </c>
      <c r="K3" s="174" t="inlineStr">
        <is>
          <t>测评单元得分
S i, j</t>
        </is>
      </c>
      <c r="L3" s="174" t="inlineStr">
        <is>
          <t>单元测评结果</t>
        </is>
      </c>
      <c r="M3" s="173" t="inlineStr">
        <is>
          <t>有效对象数量</t>
        </is>
      </c>
      <c r="N3" s="173" t="inlineStr">
        <is>
          <t>所占分值</t>
        </is>
      </c>
      <c r="O3" s="173" t="inlineStr">
        <is>
          <t>已得分值</t>
        </is>
      </c>
      <c r="P3" s="173" t="inlineStr">
        <is>
          <t>丢失分值</t>
        </is>
      </c>
    </row>
    <row r="4" ht="29.15" customHeight="1">
      <c r="A4" s="278" t="n"/>
      <c r="B4" s="278" t="n"/>
      <c r="C4" s="278" t="n"/>
      <c r="D4" s="175" t="inlineStr">
        <is>
          <t>密码使用有效性D</t>
        </is>
      </c>
      <c r="E4" s="175" t="inlineStr">
        <is>
          <t>密码算法/技术
合规性A</t>
        </is>
      </c>
      <c r="F4" s="175" t="inlineStr">
        <is>
          <t>密钥管理安全K</t>
        </is>
      </c>
      <c r="G4" s="175" t="inlineStr">
        <is>
          <t>Ra</t>
        </is>
      </c>
      <c r="H4" s="175" t="inlineStr">
        <is>
          <t>Rk</t>
        </is>
      </c>
      <c r="I4" s="278" t="n"/>
      <c r="J4" s="278" t="n"/>
      <c r="K4" s="278" t="n"/>
      <c r="L4" s="278" t="n"/>
      <c r="M4" s="278" t="n"/>
      <c r="N4" s="278" t="n"/>
      <c r="O4" s="278" t="n"/>
      <c r="P4" s="278" t="n"/>
    </row>
    <row r="5" ht="14.6" customHeight="1">
      <c r="A5" s="209" t="inlineStr">
        <is>
          <t>身份鉴别</t>
        </is>
      </c>
      <c r="B5" s="195" t="inlineStr">
        <is>
          <t>OBS管理平台</t>
        </is>
      </c>
      <c r="C5" s="176" t="inlineStr">
        <is>
          <t>适用</t>
        </is>
      </c>
      <c r="D5" s="183" t="inlineStr">
        <is>
          <t>√</t>
        </is>
      </c>
      <c r="E5" s="183" t="inlineStr">
        <is>
          <t>√</t>
        </is>
      </c>
      <c r="F5" s="183" t="inlineStr">
        <is>
          <t>√</t>
        </is>
      </c>
      <c r="G5" s="183" t="n">
        <v>1</v>
      </c>
      <c r="H5" s="183" t="n">
        <v>1</v>
      </c>
      <c r="I5" s="213">
        <f>IF(C5="不适用","N/A",IF(D5&lt;&gt;"√",0,IF((E5="√")*AND(F5="√"),1,IF((E5&lt;&gt;"√")*AND(F5="√"),0.5*G5,IF((E5="√")*AND(F5&lt;&gt;"√"),0.5*H5,IF((E5&lt;&gt;"√")*AND(F5&lt;&gt;"√"),0.25*G5*H5))))))</f>
        <v/>
      </c>
      <c r="J5" s="213">
        <f>IF(I5="N/A","不适用",IF(I5=1,"符合",IF(I5=0,"不符合","部分符合")))</f>
        <v/>
      </c>
      <c r="K5" s="282">
        <f>IF(COUNTIF($I5:$I13,"N/A")=COUNTA($I5:$I13),"N/A",AVERAGE($I5:$I13))</f>
        <v/>
      </c>
      <c r="L5" s="212">
        <f>IF(K5="N/A","不适用",IF(K5=1,"符合",IF(K5=0,"不符合","部分符合")))</f>
        <v/>
      </c>
      <c r="M5" s="213">
        <f>(COUNTA($C5:$C13)-COUNTIF($C5:$C13,"不适用"))</f>
        <v/>
      </c>
      <c r="N5" s="191">
        <f>IF(I5="N/A","N/A",整体测评!O$11/M$5)</f>
        <v/>
      </c>
      <c r="O5" s="192">
        <f>IF(I5="N/A","N/A",I5*N5)</f>
        <v/>
      </c>
      <c r="P5" s="192">
        <f>IF(I5="N/A","N/A",N5-O5)</f>
        <v/>
      </c>
    </row>
    <row r="6" ht="14.6" customHeight="1">
      <c r="A6" s="280" t="n"/>
      <c r="B6" s="188" t="inlineStr">
        <is>
          <t>麒麟V10服务器</t>
        </is>
      </c>
      <c r="C6" s="176" t="inlineStr">
        <is>
          <t>适用</t>
        </is>
      </c>
      <c r="D6" s="183" t="inlineStr">
        <is>
          <t>×</t>
        </is>
      </c>
      <c r="E6" s="183" t="inlineStr">
        <is>
          <t>/</t>
        </is>
      </c>
      <c r="F6" s="183" t="inlineStr">
        <is>
          <t>/</t>
        </is>
      </c>
      <c r="G6" s="183" t="n">
        <v>1</v>
      </c>
      <c r="H6" s="183" t="n">
        <v>1</v>
      </c>
      <c r="I6" s="213">
        <f>IF(C6="不适用","N/A",IF(D6&lt;&gt;"√",0,IF((E6="√")*AND(F6="√"),1,IF((E6&lt;&gt;"√")*AND(F6="√"),0.5*G6,IF((E6="√")*AND(F6&lt;&gt;"√"),0.5*H6,IF((E6&lt;&gt;"√")*AND(F6&lt;&gt;"√"),0.25*G6*H6))))))</f>
        <v/>
      </c>
      <c r="J6" s="213">
        <f>IF(I6="N/A","不适用",IF(I6=1,"符合",IF(I6=0,"不符合","部分符合")))</f>
        <v/>
      </c>
      <c r="K6" s="280" t="n"/>
      <c r="L6" s="280" t="n"/>
      <c r="M6" s="280" t="n"/>
      <c r="N6" s="191">
        <f>IF(I6="N/A","N/A",整体测评!O$11/M$5)</f>
        <v/>
      </c>
      <c r="O6" s="192">
        <f>IF(I6="N/A","N/A",I6*N6)</f>
        <v/>
      </c>
      <c r="P6" s="192">
        <f>IF(I6="N/A","N/A",N6-O6)</f>
        <v/>
      </c>
    </row>
    <row r="7" ht="14.6" customHeight="1">
      <c r="A7" s="280" t="n"/>
      <c r="B7" s="188" t="inlineStr">
        <is>
          <t>Linux服务器</t>
        </is>
      </c>
      <c r="C7" s="176" t="inlineStr">
        <is>
          <t>适用</t>
        </is>
      </c>
      <c r="D7" s="183" t="inlineStr">
        <is>
          <t>×</t>
        </is>
      </c>
      <c r="E7" s="183" t="inlineStr">
        <is>
          <t>/</t>
        </is>
      </c>
      <c r="F7" s="183" t="inlineStr">
        <is>
          <t>/</t>
        </is>
      </c>
      <c r="G7" s="183" t="n">
        <v>1</v>
      </c>
      <c r="H7" s="183" t="n">
        <v>1</v>
      </c>
      <c r="I7" s="213">
        <f>IF(C7="不适用","N/A",IF(D7&lt;&gt;"√",0,IF((E7="√")*AND(F7="√"),1,IF((E7&lt;&gt;"√")*AND(F7="√"),0.5*G7,IF((E7="√")*AND(F7&lt;&gt;"√"),0.5*H7,IF((E7&lt;&gt;"√")*AND(F7&lt;&gt;"√"),0.25*G7*H7))))))</f>
        <v/>
      </c>
      <c r="J7" s="213">
        <f>IF(I7="N/A","不适用",IF(I7=1,"符合",IF(I7=0,"不符合","部分符合")))</f>
        <v/>
      </c>
      <c r="K7" s="280" t="n"/>
      <c r="L7" s="280" t="n"/>
      <c r="M7" s="280" t="n"/>
      <c r="N7" s="191">
        <f>IF(I7="N/A","N/A",整体测评!O$11/M$5)</f>
        <v/>
      </c>
      <c r="O7" s="192">
        <f>IF(I7="N/A","N/A",I7*N7)</f>
        <v/>
      </c>
      <c r="P7" s="192">
        <f>IF(I7="N/A","N/A",N7-O7)</f>
        <v/>
      </c>
    </row>
    <row r="8" ht="14.6" customHeight="1">
      <c r="A8" s="280" t="n"/>
      <c r="B8" s="188" t="inlineStr">
        <is>
          <t>Oracle数据库</t>
        </is>
      </c>
      <c r="C8" s="176" t="inlineStr">
        <is>
          <t>适用</t>
        </is>
      </c>
      <c r="D8" s="183" t="inlineStr">
        <is>
          <t>×</t>
        </is>
      </c>
      <c r="E8" s="183" t="inlineStr">
        <is>
          <t>/</t>
        </is>
      </c>
      <c r="F8" s="183" t="inlineStr">
        <is>
          <t>/</t>
        </is>
      </c>
      <c r="G8" s="183" t="n">
        <v>1</v>
      </c>
      <c r="H8" s="183" t="n">
        <v>1</v>
      </c>
      <c r="I8" s="213">
        <f>IF(C8="不适用","N/A",IF(D8&lt;&gt;"√",0,IF((E8="√")*AND(F8="√"),1,IF((E8&lt;&gt;"√")*AND(F8="√"),0.5*G8,IF((E8="√")*AND(F8&lt;&gt;"√"),0.5*H8,IF((E8&lt;&gt;"√")*AND(F8&lt;&gt;"√"),0.25*G8*H8))))))</f>
        <v/>
      </c>
      <c r="J8" s="213">
        <f>IF(I8="N/A","不适用",IF(I8=1,"符合",IF(I8=0,"不符合","部分符合")))</f>
        <v/>
      </c>
      <c r="K8" s="280" t="n"/>
      <c r="L8" s="280" t="n"/>
      <c r="M8" s="280" t="n"/>
      <c r="N8" s="191">
        <f>IF(I8="N/A","N/A",整体测评!O$11/M$5)</f>
        <v/>
      </c>
      <c r="O8" s="192">
        <f>IF(I8="N/A","N/A",I8*N8)</f>
        <v/>
      </c>
      <c r="P8" s="192">
        <f>IF(I8="N/A","N/A",N8-O8)</f>
        <v/>
      </c>
    </row>
    <row r="9" ht="14.6" customHeight="1">
      <c r="A9" s="280" t="n"/>
      <c r="B9" s="188" t="inlineStr">
        <is>
          <t>签名验签服务器</t>
        </is>
      </c>
      <c r="C9" s="176" t="inlineStr">
        <is>
          <t>适用</t>
        </is>
      </c>
      <c r="D9" s="183" t="inlineStr">
        <is>
          <t>×</t>
        </is>
      </c>
      <c r="E9" s="183" t="inlineStr">
        <is>
          <t>/</t>
        </is>
      </c>
      <c r="F9" s="183" t="inlineStr">
        <is>
          <t>/</t>
        </is>
      </c>
      <c r="G9" s="183" t="n">
        <v>1</v>
      </c>
      <c r="H9" s="183" t="n">
        <v>1</v>
      </c>
      <c r="I9" s="213">
        <f>IF(C9="不适用","N/A",IF(D9&lt;&gt;"√",0,IF((E9="√")*AND(F9="√"),1,IF((E9&lt;&gt;"√")*AND(F9="√"),0.5*G9,IF((E9="√")*AND(F9&lt;&gt;"√"),0.5*H9,IF((E9&lt;&gt;"√")*AND(F9&lt;&gt;"√"),0.25*G9*H9))))))</f>
        <v/>
      </c>
      <c r="J9" s="213">
        <f>IF(I9="N/A","不适用",IF(I9=1,"符合",IF(I9=0,"不符合","部分符合")))</f>
        <v/>
      </c>
      <c r="K9" s="280" t="n"/>
      <c r="L9" s="280" t="n"/>
      <c r="M9" s="280" t="n"/>
      <c r="N9" s="191">
        <f>IF(I9="N/A","N/A",整体测评!O$11/M$5)</f>
        <v/>
      </c>
      <c r="O9" s="192">
        <f>IF(I9="N/A","N/A",I9*N9)</f>
        <v/>
      </c>
      <c r="P9" s="192">
        <f>IF(I9="N/A","N/A",N9-O9)</f>
        <v/>
      </c>
    </row>
    <row r="10" ht="14.6" customHeight="1">
      <c r="A10" s="280" t="n"/>
      <c r="B10" s="188" t="inlineStr">
        <is>
          <t>服务器密码机</t>
        </is>
      </c>
      <c r="C10" s="176" t="inlineStr">
        <is>
          <t>适用</t>
        </is>
      </c>
      <c r="D10" s="183" t="inlineStr">
        <is>
          <t>×</t>
        </is>
      </c>
      <c r="E10" s="183" t="inlineStr">
        <is>
          <t>/</t>
        </is>
      </c>
      <c r="F10" s="183" t="inlineStr">
        <is>
          <t>/</t>
        </is>
      </c>
      <c r="G10" s="183" t="n">
        <v>1</v>
      </c>
      <c r="H10" s="183" t="n">
        <v>1</v>
      </c>
      <c r="I10" s="213">
        <f>IF(C10="不适用","N/A",IF(D10&lt;&gt;"√",0,IF((E10="√")*AND(F10="√"),1,IF((E10&lt;&gt;"√")*AND(F10="√"),0.5*G10,IF((E10="√")*AND(F10&lt;&gt;"√"),0.5*H10,IF((E10&lt;&gt;"√")*AND(F10&lt;&gt;"√"),0.25*G10*H10))))))</f>
        <v/>
      </c>
      <c r="J10" s="213">
        <f>IF(I10="N/A","不适用",IF(I10=1,"符合",IF(I10=0,"不符合","部分符合")))</f>
        <v/>
      </c>
      <c r="K10" s="280" t="n"/>
      <c r="L10" s="280" t="n"/>
      <c r="M10" s="280" t="n"/>
      <c r="N10" s="191">
        <f>IF(I10="N/A","N/A",整体测评!O$11/M$5)</f>
        <v/>
      </c>
      <c r="O10" s="192">
        <f>IF(I10="N/A","N/A",I10*N10)</f>
        <v/>
      </c>
      <c r="P10" s="192">
        <f>IF(I10="N/A","N/A",N10-O10)</f>
        <v/>
      </c>
    </row>
    <row r="11" ht="15.45" customHeight="1">
      <c r="A11" s="280" t="n"/>
      <c r="B11" s="188" t="inlineStr">
        <is>
          <t>TDSQL数据库</t>
        </is>
      </c>
      <c r="C11" s="176" t="inlineStr">
        <is>
          <t>适用</t>
        </is>
      </c>
      <c r="D11" s="183" t="inlineStr">
        <is>
          <t>×</t>
        </is>
      </c>
      <c r="E11" s="183" t="inlineStr">
        <is>
          <t>/</t>
        </is>
      </c>
      <c r="F11" s="183" t="inlineStr">
        <is>
          <t>/</t>
        </is>
      </c>
      <c r="G11" s="183" t="n">
        <v>1</v>
      </c>
      <c r="H11" s="183" t="n">
        <v>1</v>
      </c>
      <c r="I11" s="213">
        <f>IF(C11="不适用","N/A",IF(D11&lt;&gt;"√",0,IF((E11="√")*AND(F11="√"),1,IF((E11&lt;&gt;"√")*AND(F11="√"),0.5*G11,IF((E11="√")*AND(F11&lt;&gt;"√"),0.5*H11,IF((E11&lt;&gt;"√")*AND(F11&lt;&gt;"√"),0.25*G11*H11))))))</f>
        <v/>
      </c>
      <c r="J11" s="213">
        <f>IF(I11="N/A","不适用",IF(I11=1,"符合",IF(I11=0,"不符合","部分符合")))</f>
        <v/>
      </c>
      <c r="K11" s="280" t="n"/>
      <c r="L11" s="280" t="n"/>
      <c r="M11" s="280" t="n"/>
      <c r="N11" s="191">
        <f>IF(I11="N/A","N/A",整体测评!O$11/M$5)</f>
        <v/>
      </c>
      <c r="O11" s="192">
        <f>IF(I11="N/A","N/A",I11*N11)</f>
        <v/>
      </c>
      <c r="P11" s="192">
        <f>IF(I11="N/A","N/A",N11-O11)</f>
        <v/>
      </c>
    </row>
    <row r="12" ht="27.9" customHeight="1">
      <c r="A12" s="280" t="n"/>
      <c r="B12" s="188" t="inlineStr">
        <is>
          <t>SOM安全运维管理平台</t>
        </is>
      </c>
      <c r="C12" s="176" t="inlineStr">
        <is>
          <t>适用</t>
        </is>
      </c>
      <c r="D12" s="176" t="inlineStr">
        <is>
          <t>√</t>
        </is>
      </c>
      <c r="E12" s="176" t="inlineStr">
        <is>
          <t>√</t>
        </is>
      </c>
      <c r="F12" s="176" t="inlineStr">
        <is>
          <t>×</t>
        </is>
      </c>
      <c r="G12" s="183" t="n">
        <v>1</v>
      </c>
      <c r="H12" s="183" t="n">
        <v>1.2</v>
      </c>
      <c r="I12" s="213">
        <f>IF(C12="不适用","N/A",IF(D12&lt;&gt;"√",0,IF((E12="√")*AND(F12="√"),1,IF((E12&lt;&gt;"√")*AND(F12="√"),0.5*G12,IF((E12="√")*AND(F12&lt;&gt;"√"),0.5*H12,IF((E12&lt;&gt;"√")*AND(F12&lt;&gt;"√"),0.25*G12*H12))))))</f>
        <v/>
      </c>
      <c r="J12" s="213">
        <f>IF(I12="N/A","不适用",IF(I12=1,"符合",IF(I12=0,"不符合","部分符合")))</f>
        <v/>
      </c>
      <c r="K12" s="280" t="n"/>
      <c r="L12" s="280" t="n"/>
      <c r="M12" s="280" t="n"/>
      <c r="N12" s="191">
        <f>IF(I12="N/A","N/A",整体测评!O$11/M$5)</f>
        <v/>
      </c>
      <c r="O12" s="192">
        <f>IF(I12="N/A","N/A",I12*N12)</f>
        <v/>
      </c>
      <c r="P12" s="192">
        <f>IF(I12="N/A","N/A",N12-O12)</f>
        <v/>
      </c>
    </row>
    <row r="13" ht="14.6" customHeight="1">
      <c r="A13" s="278" t="n"/>
      <c r="B13" s="193" t="inlineStr">
        <is>
          <t>勿删</t>
        </is>
      </c>
      <c r="C13" s="182" t="inlineStr">
        <is>
          <t>不适用</t>
        </is>
      </c>
      <c r="D13" s="176" t="n"/>
      <c r="E13" s="176" t="n"/>
      <c r="F13" s="176" t="n"/>
      <c r="G13" s="183" t="n">
        <v>1</v>
      </c>
      <c r="H13" s="183" t="n">
        <v>1</v>
      </c>
      <c r="I13" s="213">
        <f>IF(C13="不适用","N/A",IF(D13&lt;&gt;"√",0,IF((E13="√")*AND(F13="√"),1,IF((E13&lt;&gt;"√")*AND(F13="√"),0.5*G13,IF((E13="√")*AND(F13&lt;&gt;"√"),0.5*H13,IF((E13&lt;&gt;"√")*AND(F13&lt;&gt;"√"),0.25*G13*H13))))))</f>
        <v/>
      </c>
      <c r="J13" s="213">
        <f>IF(I13="N/A","不适用",IF(I13=1,"符合",IF(I13=0,"不符合","部分符合")))</f>
        <v/>
      </c>
      <c r="K13" s="278" t="n"/>
      <c r="L13" s="278" t="n"/>
      <c r="M13" s="278" t="n"/>
      <c r="N13" s="191">
        <f>IF(I13="N/A","N/A",整体测评!O$11/M$5)</f>
        <v/>
      </c>
      <c r="O13" s="192">
        <f>IF(I13="N/A","N/A",I13*N13)</f>
        <v/>
      </c>
      <c r="P13" s="192">
        <f>IF(I13="N/A","N/A",N13-O13)</f>
        <v/>
      </c>
    </row>
    <row r="14" ht="14.6" customHeight="1">
      <c r="A14" s="214" t="inlineStr">
        <is>
          <t>远程管理通道安全</t>
        </is>
      </c>
      <c r="B14" s="195" t="inlineStr">
        <is>
          <t>OBS管理平台</t>
        </is>
      </c>
      <c r="C14" s="176" t="inlineStr">
        <is>
          <t>适用</t>
        </is>
      </c>
      <c r="D14" s="176" t="inlineStr">
        <is>
          <t>√</t>
        </is>
      </c>
      <c r="E14" s="176" t="inlineStr">
        <is>
          <t>×</t>
        </is>
      </c>
      <c r="F14" s="176" t="inlineStr">
        <is>
          <t>×</t>
        </is>
      </c>
      <c r="G14" s="183" t="n">
        <v>1</v>
      </c>
      <c r="H14" s="183" t="n">
        <v>1</v>
      </c>
      <c r="I14" s="213">
        <f>IF(C14="不适用","N/A",IF(D14&lt;&gt;"√",0,IF((E14="√")*AND(F14="√"),1,IF((E14&lt;&gt;"√")*AND(F14="√"),0.5*G14,IF((E14="√")*AND(F14&lt;&gt;"√"),0.5*H14,IF((E14&lt;&gt;"√")*AND(F14&lt;&gt;"√"),0.25*G14*H14))))))</f>
        <v/>
      </c>
      <c r="J14" s="213">
        <f>IF(I14="N/A","不适用",IF(I14=1,"符合",IF(I14=0,"不符合","部分符合")))</f>
        <v/>
      </c>
      <c r="K14" s="282">
        <f>IF(COUNTIF($I14:$I22,"N/A")=COUNTA($I14:$I22),"N/A",AVERAGE($I14:$I22))</f>
        <v/>
      </c>
      <c r="L14" s="212">
        <f>IF(K14="N/A","不适用",IF(K14=1,"符合",IF(K14=0,"不符合","部分符合")))</f>
        <v/>
      </c>
      <c r="M14" s="213">
        <f>(COUNTA($C14:$C22)-COUNTIF($C14:$C22,"不适用"))</f>
        <v/>
      </c>
      <c r="N14" s="191">
        <f>IF(I14="N/A","N/A",整体测评!O$12/M$14)</f>
        <v/>
      </c>
      <c r="O14" s="192">
        <f>IF(I14="N/A","N/A",I14*N14)</f>
        <v/>
      </c>
      <c r="P14" s="192">
        <f>IF(I14="N/A","N/A",N14-O14)</f>
        <v/>
      </c>
    </row>
    <row r="15" ht="14.6" customHeight="1">
      <c r="A15" s="280" t="n"/>
      <c r="B15" s="188" t="inlineStr">
        <is>
          <t>麒麟V10服务器</t>
        </is>
      </c>
      <c r="C15" s="176" t="inlineStr">
        <is>
          <t>适用</t>
        </is>
      </c>
      <c r="D15" s="176" t="inlineStr">
        <is>
          <t>√</t>
        </is>
      </c>
      <c r="E15" s="176" t="inlineStr">
        <is>
          <t>×</t>
        </is>
      </c>
      <c r="F15" s="176" t="inlineStr">
        <is>
          <t>×</t>
        </is>
      </c>
      <c r="G15" s="183" t="n">
        <v>1</v>
      </c>
      <c r="H15" s="183" t="n">
        <v>1</v>
      </c>
      <c r="I15" s="213">
        <f>IF(C15="不适用","N/A",IF(D15&lt;&gt;"√",0,IF((E15="√")*AND(F15="√"),1,IF((E15&lt;&gt;"√")*AND(F15="√"),0.5*G15,IF((E15="√")*AND(F15&lt;&gt;"√"),0.5*H15,IF((E15&lt;&gt;"√")*AND(F15&lt;&gt;"√"),0.25*G15*H15))))))</f>
        <v/>
      </c>
      <c r="J15" s="213">
        <f>IF(I15="N/A","不适用",IF(I15=1,"符合",IF(I15=0,"不符合","部分符合")))</f>
        <v/>
      </c>
      <c r="K15" s="280" t="n"/>
      <c r="L15" s="280" t="n"/>
      <c r="M15" s="280" t="n"/>
      <c r="N15" s="191">
        <f>IF(I15="N/A","N/A",整体测评!O$12/M$14)</f>
        <v/>
      </c>
      <c r="O15" s="192">
        <f>IF(I15="N/A","N/A",I15*N15)</f>
        <v/>
      </c>
      <c r="P15" s="192">
        <f>IF(I15="N/A","N/A",N15-O15)</f>
        <v/>
      </c>
    </row>
    <row r="16" ht="12" customHeight="1">
      <c r="A16" s="280" t="n"/>
      <c r="B16" s="188" t="inlineStr">
        <is>
          <t>Linux服务器</t>
        </is>
      </c>
      <c r="C16" s="176" t="inlineStr">
        <is>
          <t>适用</t>
        </is>
      </c>
      <c r="D16" s="176" t="inlineStr">
        <is>
          <t>√</t>
        </is>
      </c>
      <c r="E16" s="176" t="inlineStr">
        <is>
          <t>×</t>
        </is>
      </c>
      <c r="F16" s="176" t="inlineStr">
        <is>
          <t>×</t>
        </is>
      </c>
      <c r="G16" s="183" t="n">
        <v>1</v>
      </c>
      <c r="H16" s="183" t="n">
        <v>1</v>
      </c>
      <c r="I16" s="213">
        <f>IF(C16="不适用","N/A",IF(D16&lt;&gt;"√",0,IF((E16="√")*AND(F16="√"),1,IF((E16&lt;&gt;"√")*AND(F16="√"),0.5*G16,IF((E16="√")*AND(F16&lt;&gt;"√"),0.5*H16,IF((E16&lt;&gt;"√")*AND(F16&lt;&gt;"√"),0.25*G16*H16))))))</f>
        <v/>
      </c>
      <c r="J16" s="213">
        <f>IF(I16="N/A","不适用",IF(I16=1,"符合",IF(I16=0,"不符合","部分符合")))</f>
        <v/>
      </c>
      <c r="K16" s="280" t="n"/>
      <c r="L16" s="280" t="n"/>
      <c r="M16" s="280" t="n"/>
      <c r="N16" s="191">
        <f>IF(I16="N/A","N/A",整体测评!O$12/M$14)</f>
        <v/>
      </c>
      <c r="O16" s="192">
        <f>IF(I16="N/A","N/A",I16*N16)</f>
        <v/>
      </c>
      <c r="P16" s="192">
        <f>IF(I16="N/A","N/A",N16-O16)</f>
        <v/>
      </c>
    </row>
    <row r="17" ht="12" customHeight="1">
      <c r="A17" s="280" t="n"/>
      <c r="B17" s="188" t="inlineStr">
        <is>
          <t>Oracle数据库</t>
        </is>
      </c>
      <c r="C17" s="176" t="inlineStr">
        <is>
          <t>适用</t>
        </is>
      </c>
      <c r="D17" s="176" t="inlineStr">
        <is>
          <t>×</t>
        </is>
      </c>
      <c r="E17" s="176" t="inlineStr">
        <is>
          <t>/</t>
        </is>
      </c>
      <c r="F17" s="176" t="inlineStr">
        <is>
          <t>/</t>
        </is>
      </c>
      <c r="G17" s="183" t="n">
        <v>1</v>
      </c>
      <c r="H17" s="183" t="n">
        <v>1</v>
      </c>
      <c r="I17" s="213">
        <f>IF(C17="不适用","N/A",IF(D17&lt;&gt;"√",0,IF((E17="√")*AND(F17="√"),1,IF((E17&lt;&gt;"√")*AND(F17="√"),0.5*G17,IF((E17="√")*AND(F17&lt;&gt;"√"),0.5*H17,IF((E17&lt;&gt;"√")*AND(F17&lt;&gt;"√"),0.25*G17*H17))))))</f>
        <v/>
      </c>
      <c r="J17" s="213">
        <f>IF(I17="N/A","不适用",IF(I17=1,"符合",IF(I17=0,"不符合","部分符合")))</f>
        <v/>
      </c>
      <c r="K17" s="280" t="n"/>
      <c r="L17" s="280" t="n"/>
      <c r="M17" s="280" t="n"/>
      <c r="N17" s="191">
        <f>IF(I17="N/A","N/A",整体测评!O$12/M$14)</f>
        <v/>
      </c>
      <c r="O17" s="192">
        <f>IF(I17="N/A","N/A",I17*N17)</f>
        <v/>
      </c>
      <c r="P17" s="192">
        <f>IF(I17="N/A","N/A",N17-O17)</f>
        <v/>
      </c>
    </row>
    <row r="18" ht="12" customHeight="1">
      <c r="A18" s="280" t="n"/>
      <c r="B18" s="188" t="inlineStr">
        <is>
          <t>签名验签服务器</t>
        </is>
      </c>
      <c r="C18" s="176" t="inlineStr">
        <is>
          <t>不适用</t>
        </is>
      </c>
      <c r="D18" s="176" t="inlineStr">
        <is>
          <t>×</t>
        </is>
      </c>
      <c r="E18" s="176" t="inlineStr">
        <is>
          <t>/</t>
        </is>
      </c>
      <c r="F18" s="176" t="inlineStr">
        <is>
          <t>/</t>
        </is>
      </c>
      <c r="G18" s="183" t="n"/>
      <c r="H18" s="183" t="n"/>
      <c r="I18" s="213">
        <f>IF(C18="不适用","N/A",IF(D18&lt;&gt;"√",0,IF((E18="√")*AND(F18="√"),1,IF((E18&lt;&gt;"√")*AND(F18="√"),0.5*G18,IF((E18="√")*AND(F18&lt;&gt;"√"),0.5*H18,IF((E18&lt;&gt;"√")*AND(F18&lt;&gt;"√"),0.25*G18*H18))))))</f>
        <v/>
      </c>
      <c r="J18" s="213">
        <f>IF(I18="N/A","不适用",IF(I18=1,"符合",IF(I18=0,"不符合","部分符合")))</f>
        <v/>
      </c>
      <c r="K18" s="280" t="n"/>
      <c r="L18" s="280" t="n"/>
      <c r="M18" s="280" t="n"/>
      <c r="N18" s="191">
        <f>IF(I18="N/A","N/A",整体测评!O$12/M$14)</f>
        <v/>
      </c>
      <c r="O18" s="192">
        <f>IF(I18="N/A","N/A",I18*N18)</f>
        <v/>
      </c>
      <c r="P18" s="192">
        <f>IF(I18="N/A","N/A",N18-O18)</f>
        <v/>
      </c>
    </row>
    <row r="19" ht="14.6" customHeight="1">
      <c r="A19" s="280" t="n"/>
      <c r="B19" s="188" t="inlineStr">
        <is>
          <t>服务器密码机</t>
        </is>
      </c>
      <c r="C19" s="176" t="inlineStr">
        <is>
          <t>不适用</t>
        </is>
      </c>
      <c r="D19" s="176" t="inlineStr">
        <is>
          <t>×</t>
        </is>
      </c>
      <c r="E19" s="176" t="inlineStr">
        <is>
          <t>/</t>
        </is>
      </c>
      <c r="F19" s="176" t="inlineStr">
        <is>
          <t>/</t>
        </is>
      </c>
      <c r="G19" s="183" t="n">
        <v>1</v>
      </c>
      <c r="H19" s="183" t="n">
        <v>1</v>
      </c>
      <c r="I19" s="213">
        <f>IF(C19="不适用","N/A",IF(D19&lt;&gt;"√",0,IF((E19="√")*AND(F19="√"),1,IF((E19&lt;&gt;"√")*AND(F19="√"),0.5*G19,IF((E19="√")*AND(F19&lt;&gt;"√"),0.5*H19,IF((E19&lt;&gt;"√")*AND(F19&lt;&gt;"√"),0.25*G19*H19))))))</f>
        <v/>
      </c>
      <c r="J19" s="213">
        <f>IF(I19="N/A","不适用",IF(I19=1,"符合",IF(I19=0,"不符合","部分符合")))</f>
        <v/>
      </c>
      <c r="K19" s="280" t="n"/>
      <c r="L19" s="280" t="n"/>
      <c r="M19" s="280" t="n"/>
      <c r="N19" s="191">
        <f>IF(I19="N/A","N/A",整体测评!O$12/M$14)</f>
        <v/>
      </c>
      <c r="O19" s="192">
        <f>IF(I19="N/A","N/A",I19*N19)</f>
        <v/>
      </c>
      <c r="P19" s="192">
        <f>IF(I19="N/A","N/A",N19-O19)</f>
        <v/>
      </c>
    </row>
    <row r="20" ht="14.6" customHeight="1">
      <c r="A20" s="280" t="n"/>
      <c r="B20" s="188" t="inlineStr">
        <is>
          <t>TDSQL数据库</t>
        </is>
      </c>
      <c r="C20" s="176" t="inlineStr">
        <is>
          <t>适用</t>
        </is>
      </c>
      <c r="D20" s="176" t="inlineStr">
        <is>
          <t>×</t>
        </is>
      </c>
      <c r="E20" s="176" t="inlineStr">
        <is>
          <t>/</t>
        </is>
      </c>
      <c r="F20" s="176" t="inlineStr">
        <is>
          <t>/</t>
        </is>
      </c>
      <c r="G20" s="183" t="n">
        <v>1</v>
      </c>
      <c r="H20" s="183" t="n">
        <v>1</v>
      </c>
      <c r="I20" s="213">
        <f>IF(C20="不适用","N/A",IF(D20&lt;&gt;"√",0,IF((E20="√")*AND(F20="√"),1,IF((E20&lt;&gt;"√")*AND(F20="√"),0.5*G20,IF((E20="√")*AND(F20&lt;&gt;"√"),0.5*H20,IF((E20&lt;&gt;"√")*AND(F20&lt;&gt;"√"),0.25*G20*H20))))))</f>
        <v/>
      </c>
      <c r="J20" s="213">
        <f>IF(I20="N/A","不适用",IF(I20=1,"符合",IF(I20=0,"不符合","部分符合")))</f>
        <v/>
      </c>
      <c r="K20" s="280" t="n"/>
      <c r="L20" s="280" t="n"/>
      <c r="M20" s="280" t="n"/>
      <c r="N20" s="191">
        <f>IF(I20="N/A","N/A",整体测评!O$12/M$14)</f>
        <v/>
      </c>
      <c r="O20" s="192">
        <f>IF(I20="N/A","N/A",I20*N20)</f>
        <v/>
      </c>
      <c r="P20" s="192">
        <f>IF(I20="N/A","N/A",N20-O20)</f>
        <v/>
      </c>
    </row>
    <row r="21" ht="27.9" customHeight="1">
      <c r="A21" s="280" t="n"/>
      <c r="B21" s="188" t="inlineStr">
        <is>
          <t>SOM安全运维管理平台</t>
        </is>
      </c>
      <c r="C21" s="176" t="inlineStr">
        <is>
          <t>适用</t>
        </is>
      </c>
      <c r="D21" s="176" t="inlineStr">
        <is>
          <t>√</t>
        </is>
      </c>
      <c r="E21" s="176" t="inlineStr">
        <is>
          <t>×</t>
        </is>
      </c>
      <c r="F21" s="176" t="inlineStr">
        <is>
          <t>×</t>
        </is>
      </c>
      <c r="G21" s="183" t="n">
        <v>1</v>
      </c>
      <c r="H21" s="183" t="n">
        <v>1</v>
      </c>
      <c r="I21" s="213">
        <f>IF(C21="不适用","N/A",IF(D21&lt;&gt;"√",0,IF((E21="√")*AND(F21="√"),1,IF((E21&lt;&gt;"√")*AND(F21="√"),0.5*G21,IF((E21="√")*AND(F21&lt;&gt;"√"),0.5*H21,IF((E21&lt;&gt;"√")*AND(F21&lt;&gt;"√"),0.25*G21*H21))))))</f>
        <v/>
      </c>
      <c r="J21" s="213">
        <f>IF(I21="N/A","不适用",IF(I21=1,"符合",IF(I21=0,"不符合","部分符合")))</f>
        <v/>
      </c>
      <c r="K21" s="280" t="n"/>
      <c r="L21" s="280" t="n"/>
      <c r="M21" s="280" t="n"/>
      <c r="N21" s="191">
        <f>IF(I21="N/A","N/A",整体测评!O$12/M$14)</f>
        <v/>
      </c>
      <c r="O21" s="192">
        <f>IF(I21="N/A","N/A",I21*N21)</f>
        <v/>
      </c>
      <c r="P21" s="192">
        <f>IF(I21="N/A","N/A",N21-O21)</f>
        <v/>
      </c>
    </row>
    <row r="22" ht="14.6" customHeight="1">
      <c r="A22" s="278" t="n"/>
      <c r="B22" s="193" t="inlineStr">
        <is>
          <t>勿删</t>
        </is>
      </c>
      <c r="C22" s="182" t="inlineStr">
        <is>
          <t>不适用</t>
        </is>
      </c>
      <c r="D22" s="183" t="n"/>
      <c r="E22" s="183" t="n"/>
      <c r="F22" s="183" t="n"/>
      <c r="G22" s="183" t="n">
        <v>1</v>
      </c>
      <c r="H22" s="183" t="n">
        <v>1</v>
      </c>
      <c r="I22" s="213">
        <f>IF(C22="不适用","N/A",IF(D22&lt;&gt;"√",0,IF((E22="√")*AND(F22="√"),1,IF((E22&lt;&gt;"√")*AND(F22="√"),0.5*G22,IF((E22="√")*AND(F22&lt;&gt;"√"),0.5*H22,IF((E22&lt;&gt;"√")*AND(F22&lt;&gt;"√"),0.25*G22*H22))))))</f>
        <v/>
      </c>
      <c r="J22" s="213">
        <f>IF(I22="N/A","不适用",IF(I22=1,"符合",IF(I22=0,"不符合","部分符合")))</f>
        <v/>
      </c>
      <c r="K22" s="278" t="n"/>
      <c r="L22" s="278" t="n"/>
      <c r="M22" s="278" t="n"/>
      <c r="N22" s="191">
        <f>IF(I22="N/A","N/A",整体测评!O$12/M$14)</f>
        <v/>
      </c>
      <c r="O22" s="192">
        <f>IF(I22="N/A","N/A",I22*N22)</f>
        <v/>
      </c>
      <c r="P22" s="192">
        <f>IF(I22="N/A","N/A",N22-O22)</f>
        <v/>
      </c>
    </row>
    <row r="23" ht="14.6" customHeight="1">
      <c r="A23" s="214" t="inlineStr">
        <is>
          <t>系统资源访问控制信息完整性</t>
        </is>
      </c>
      <c r="B23" s="195" t="inlineStr">
        <is>
          <t>OBS管理平台</t>
        </is>
      </c>
      <c r="C23" s="176" t="inlineStr">
        <is>
          <t>适用</t>
        </is>
      </c>
      <c r="D23" s="183" t="inlineStr">
        <is>
          <t>√</t>
        </is>
      </c>
      <c r="E23" s="183" t="inlineStr">
        <is>
          <t>√</t>
        </is>
      </c>
      <c r="F23" s="183" t="inlineStr">
        <is>
          <t>√</t>
        </is>
      </c>
      <c r="G23" s="183" t="n">
        <v>1</v>
      </c>
      <c r="H23" s="183" t="n">
        <v>1</v>
      </c>
      <c r="I23" s="213">
        <f>IF(C23="不适用","N/A",IF(D23&lt;&gt;"√",0,IF((E23="√")*AND(F23="√"),1,IF((E23&lt;&gt;"√")*AND(F23="√"),0.5*G23,IF((E23="√")*AND(F23&lt;&gt;"√"),0.5*H23,IF((E23&lt;&gt;"√")*AND(F23&lt;&gt;"√"),0.25*G23*H23))))))</f>
        <v/>
      </c>
      <c r="J23" s="213">
        <f>IF(I23="N/A","不适用",IF(I23=1,"符合",IF(I23=0,"不符合","部分符合")))</f>
        <v/>
      </c>
      <c r="K23" s="282">
        <f>IF(COUNTIF($I23:$I31,"N/A")=COUNTA($I23:$I31),"N/A",AVERAGE($I23:$I31))</f>
        <v/>
      </c>
      <c r="L23" s="212">
        <f>IF(K23="N/A","不适用",IF(K23=1,"符合",IF(K23=0,"不符合","部分符合")))</f>
        <v/>
      </c>
      <c r="M23" s="213">
        <f>(COUNTA($C23:$C31)-COUNTIF($C23:$C31,"不适用"))</f>
        <v/>
      </c>
      <c r="N23" s="191">
        <f>IF(I23="N/A","N/A",整体测评!O$13/M$23)</f>
        <v/>
      </c>
      <c r="O23" s="192">
        <f>IF(I23="N/A","N/A",I23*N23)</f>
        <v/>
      </c>
      <c r="P23" s="192">
        <f>IF(I23="N/A","N/A",N23-O23)</f>
        <v/>
      </c>
    </row>
    <row r="24" ht="14.6" customHeight="1">
      <c r="A24" s="280" t="n"/>
      <c r="B24" s="188" t="inlineStr">
        <is>
          <t>麒麟V10服务器</t>
        </is>
      </c>
      <c r="C24" s="176" t="inlineStr">
        <is>
          <t>适用</t>
        </is>
      </c>
      <c r="D24" s="176" t="inlineStr">
        <is>
          <t>×</t>
        </is>
      </c>
      <c r="E24" s="183" t="inlineStr">
        <is>
          <t>/</t>
        </is>
      </c>
      <c r="F24" s="183" t="inlineStr">
        <is>
          <t>/</t>
        </is>
      </c>
      <c r="G24" s="183" t="n">
        <v>1</v>
      </c>
      <c r="H24" s="183" t="n">
        <v>1</v>
      </c>
      <c r="I24" s="213">
        <f>IF(C24="不适用","N/A",IF(D24&lt;&gt;"√",0,IF((E24="√")*AND(F24="√"),1,IF((E24&lt;&gt;"√")*AND(F24="√"),0.5*G24,IF((E24="√")*AND(F24&lt;&gt;"√"),0.5*H24,IF((E24&lt;&gt;"√")*AND(F24&lt;&gt;"√"),0.25*G24*H24))))))</f>
        <v/>
      </c>
      <c r="J24" s="213">
        <f>IF(I24="N/A","不适用",IF(I24=1,"符合",IF(I24=0,"不符合","部分符合")))</f>
        <v/>
      </c>
      <c r="K24" s="280" t="n"/>
      <c r="L24" s="280" t="n"/>
      <c r="M24" s="280" t="n"/>
      <c r="N24" s="191">
        <f>IF(I24="N/A","N/A",整体测评!O$13/M$23)</f>
        <v/>
      </c>
      <c r="O24" s="192">
        <f>IF(I24="N/A","N/A",I24*N24)</f>
        <v/>
      </c>
      <c r="P24" s="192">
        <f>IF(I24="N/A","N/A",N24-O24)</f>
        <v/>
      </c>
    </row>
    <row r="25" ht="14.6" customHeight="1">
      <c r="A25" s="280" t="n"/>
      <c r="B25" s="188" t="inlineStr">
        <is>
          <t>Linux服务器</t>
        </is>
      </c>
      <c r="C25" s="176" t="inlineStr">
        <is>
          <t>适用</t>
        </is>
      </c>
      <c r="D25" s="176" t="inlineStr">
        <is>
          <t>×</t>
        </is>
      </c>
      <c r="E25" s="183" t="inlineStr">
        <is>
          <t>/</t>
        </is>
      </c>
      <c r="F25" s="183" t="inlineStr">
        <is>
          <t>/</t>
        </is>
      </c>
      <c r="G25" s="183" t="n">
        <v>1</v>
      </c>
      <c r="H25" s="183" t="n">
        <v>1</v>
      </c>
      <c r="I25" s="213">
        <f>IF(C25="不适用","N/A",IF(D25&lt;&gt;"√",0,IF((E25="√")*AND(F25="√"),1,IF((E25&lt;&gt;"√")*AND(F25="√"),0.5*G25,IF((E25="√")*AND(F25&lt;&gt;"√"),0.5*H25,IF((E25&lt;&gt;"√")*AND(F25&lt;&gt;"√"),0.25*G25*H25))))))</f>
        <v/>
      </c>
      <c r="J25" s="213">
        <f>IF(I25="N/A","不适用",IF(I25=1,"符合",IF(I25=0,"不符合","部分符合")))</f>
        <v/>
      </c>
      <c r="K25" s="280" t="n"/>
      <c r="L25" s="280" t="n"/>
      <c r="M25" s="280" t="n"/>
      <c r="N25" s="191">
        <f>IF(I25="N/A","N/A",整体测评!O$13/M$23)</f>
        <v/>
      </c>
      <c r="O25" s="192">
        <f>IF(I25="N/A","N/A",I25*N25)</f>
        <v/>
      </c>
      <c r="P25" s="192">
        <f>IF(I25="N/A","N/A",N25-O25)</f>
        <v/>
      </c>
    </row>
    <row r="26" ht="14.6" customHeight="1">
      <c r="A26" s="280" t="n"/>
      <c r="B26" s="188" t="inlineStr">
        <is>
          <t>Oracle数据库</t>
        </is>
      </c>
      <c r="C26" s="176" t="inlineStr">
        <is>
          <t>适用</t>
        </is>
      </c>
      <c r="D26" s="176" t="inlineStr">
        <is>
          <t>×</t>
        </is>
      </c>
      <c r="E26" s="183" t="inlineStr">
        <is>
          <t>/</t>
        </is>
      </c>
      <c r="F26" s="183" t="inlineStr">
        <is>
          <t>/</t>
        </is>
      </c>
      <c r="G26" s="183" t="n">
        <v>1</v>
      </c>
      <c r="H26" s="183" t="n">
        <v>1</v>
      </c>
      <c r="I26" s="213">
        <f>IF(C26="不适用","N/A",IF(D26&lt;&gt;"√",0,IF((E26="√")*AND(F26="√"),1,IF((E26&lt;&gt;"√")*AND(F26="√"),0.5*G26,IF((E26="√")*AND(F26&lt;&gt;"√"),0.5*H26,IF((E26&lt;&gt;"√")*AND(F26&lt;&gt;"√"),0.25*G26*H26))))))</f>
        <v/>
      </c>
      <c r="J26" s="213">
        <f>IF(I26="N/A","不适用",IF(I26=1,"符合",IF(I26=0,"不符合","部分符合")))</f>
        <v/>
      </c>
      <c r="K26" s="280" t="n"/>
      <c r="L26" s="280" t="n"/>
      <c r="M26" s="280" t="n"/>
      <c r="N26" s="191">
        <f>IF(I26="N/A","N/A",整体测评!O$13/M$23)</f>
        <v/>
      </c>
      <c r="O26" s="192">
        <f>IF(I26="N/A","N/A",I26*N26)</f>
        <v/>
      </c>
      <c r="P26" s="192">
        <f>IF(I26="N/A","N/A",N26-O26)</f>
        <v/>
      </c>
    </row>
    <row r="27" ht="14.6" customHeight="1">
      <c r="A27" s="280" t="n"/>
      <c r="B27" s="188" t="inlineStr">
        <is>
          <t>签名验签服务器</t>
        </is>
      </c>
      <c r="C27" s="176" t="inlineStr">
        <is>
          <t>适用</t>
        </is>
      </c>
      <c r="D27" s="176" t="inlineStr">
        <is>
          <t>√</t>
        </is>
      </c>
      <c r="E27" s="176" t="inlineStr">
        <is>
          <t>√</t>
        </is>
      </c>
      <c r="F27" s="176" t="inlineStr">
        <is>
          <t>√</t>
        </is>
      </c>
      <c r="G27" s="183" t="n">
        <v>1</v>
      </c>
      <c r="H27" s="183" t="n">
        <v>1</v>
      </c>
      <c r="I27" s="213">
        <f>IF(C27="不适用","N/A",IF(D27&lt;&gt;"√",0,IF((E27="√")*AND(F27="√"),1,IF((E27&lt;&gt;"√")*AND(F27="√"),0.5*G27,IF((E27="√")*AND(F27&lt;&gt;"√"),0.5*H27,IF((E27&lt;&gt;"√")*AND(F27&lt;&gt;"√"),0.25*G27*H27))))))</f>
        <v/>
      </c>
      <c r="J27" s="213">
        <f>IF(I27="N/A","不适用",IF(I27=1,"符合",IF(I27=0,"不符合","部分符合")))</f>
        <v/>
      </c>
      <c r="K27" s="280" t="n"/>
      <c r="L27" s="280" t="n"/>
      <c r="M27" s="280" t="n"/>
      <c r="N27" s="191">
        <f>IF(I27="N/A","N/A",整体测评!O$13/M$23)</f>
        <v/>
      </c>
      <c r="O27" s="192">
        <f>IF(I27="N/A","N/A",I27*N27)</f>
        <v/>
      </c>
      <c r="P27" s="192">
        <f>IF(I27="N/A","N/A",N27-O27)</f>
        <v/>
      </c>
    </row>
    <row r="28" ht="14.6" customHeight="1">
      <c r="A28" s="280" t="n"/>
      <c r="B28" s="188" t="inlineStr">
        <is>
          <t>服务器密码机</t>
        </is>
      </c>
      <c r="C28" s="176" t="inlineStr">
        <is>
          <t>适用</t>
        </is>
      </c>
      <c r="D28" s="176" t="inlineStr">
        <is>
          <t>√</t>
        </is>
      </c>
      <c r="E28" s="176" t="inlineStr">
        <is>
          <t>√</t>
        </is>
      </c>
      <c r="F28" s="176" t="inlineStr">
        <is>
          <t>√</t>
        </is>
      </c>
      <c r="G28" s="183" t="n">
        <v>1</v>
      </c>
      <c r="H28" s="183" t="n">
        <v>1</v>
      </c>
      <c r="I28" s="213">
        <f>IF(C28="不适用","N/A",IF(D28&lt;&gt;"√",0,IF((E28="√")*AND(F28="√"),1,IF((E28&lt;&gt;"√")*AND(F28="√"),0.5*G28,IF((E28="√")*AND(F28&lt;&gt;"√"),0.5*H28,IF((E28&lt;&gt;"√")*AND(F28&lt;&gt;"√"),0.25*G28*H28))))))</f>
        <v/>
      </c>
      <c r="J28" s="213">
        <f>IF(I28="N/A","不适用",IF(I28=1,"符合",IF(I28=0,"不符合","部分符合")))</f>
        <v/>
      </c>
      <c r="K28" s="280" t="n"/>
      <c r="L28" s="280" t="n"/>
      <c r="M28" s="280" t="n"/>
      <c r="N28" s="191">
        <f>IF(I28="N/A","N/A",整体测评!O$13/M$23)</f>
        <v/>
      </c>
      <c r="O28" s="192">
        <f>IF(I28="N/A","N/A",I28*N28)</f>
        <v/>
      </c>
      <c r="P28" s="192">
        <f>IF(I28="N/A","N/A",N28-O28)</f>
        <v/>
      </c>
    </row>
    <row r="29" ht="14.6" customHeight="1">
      <c r="A29" s="280" t="n"/>
      <c r="B29" s="188" t="inlineStr">
        <is>
          <t>TDSQL数据库</t>
        </is>
      </c>
      <c r="C29" s="176" t="inlineStr">
        <is>
          <t>适用</t>
        </is>
      </c>
      <c r="D29" s="176" t="inlineStr">
        <is>
          <t>×</t>
        </is>
      </c>
      <c r="E29" s="183" t="inlineStr">
        <is>
          <t>/</t>
        </is>
      </c>
      <c r="F29" s="183" t="inlineStr">
        <is>
          <t>/</t>
        </is>
      </c>
      <c r="G29" s="183" t="n">
        <v>1</v>
      </c>
      <c r="H29" s="183" t="n">
        <v>1</v>
      </c>
      <c r="I29" s="213">
        <f>IF(C29="不适用","N/A",IF(D29&lt;&gt;"√",0,IF((E29="√")*AND(F29="√"),1,IF((E29&lt;&gt;"√")*AND(F29="√"),0.5*G29,IF((E29="√")*AND(F29&lt;&gt;"√"),0.5*H29,IF((E29&lt;&gt;"√")*AND(F29&lt;&gt;"√"),0.25*G29*H29))))))</f>
        <v/>
      </c>
      <c r="J29" s="213">
        <f>IF(I29="N/A","不适用",IF(I29=1,"符合",IF(I29=0,"不符合","部分符合")))</f>
        <v/>
      </c>
      <c r="K29" s="280" t="n"/>
      <c r="L29" s="280" t="n"/>
      <c r="M29" s="280" t="n"/>
      <c r="N29" s="191">
        <f>IF(I29="N/A","N/A",整体测评!O$13/M$23)</f>
        <v/>
      </c>
      <c r="O29" s="192">
        <f>IF(I29="N/A","N/A",I29*N29)</f>
        <v/>
      </c>
      <c r="P29" s="192">
        <f>IF(I29="N/A","N/A",N29-O29)</f>
        <v/>
      </c>
    </row>
    <row r="30" ht="27.9" customHeight="1">
      <c r="A30" s="280" t="n"/>
      <c r="B30" s="188" t="inlineStr">
        <is>
          <t>SOM安全运维管理平台</t>
        </is>
      </c>
      <c r="C30" s="176" t="inlineStr">
        <is>
          <t>适用</t>
        </is>
      </c>
      <c r="D30" s="176" t="inlineStr">
        <is>
          <t>×</t>
        </is>
      </c>
      <c r="E30" s="183" t="inlineStr">
        <is>
          <t>/</t>
        </is>
      </c>
      <c r="F30" s="183" t="inlineStr">
        <is>
          <t>/</t>
        </is>
      </c>
      <c r="G30" s="183" t="n">
        <v>1</v>
      </c>
      <c r="H30" s="183" t="n">
        <v>1</v>
      </c>
      <c r="I30" s="213">
        <f>IF(C30="不适用","N/A",IF(D30&lt;&gt;"√",0,IF((E30="√")*AND(F30="√"),1,IF((E30&lt;&gt;"√")*AND(F30="√"),0.5*G30,IF((E30="√")*AND(F30&lt;&gt;"√"),0.5*H30,IF((E30&lt;&gt;"√")*AND(F30&lt;&gt;"√"),0.25*G30*H30))))))</f>
        <v/>
      </c>
      <c r="J30" s="213">
        <f>IF(I30="N/A","不适用",IF(I30=1,"符合",IF(I30=0,"不符合","部分符合")))</f>
        <v/>
      </c>
      <c r="K30" s="280" t="n"/>
      <c r="L30" s="280" t="n"/>
      <c r="M30" s="280" t="n"/>
      <c r="N30" s="191">
        <f>IF(I30="N/A","N/A",整体测评!O$13/M$23)</f>
        <v/>
      </c>
      <c r="O30" s="192">
        <f>IF(I30="N/A","N/A",I30*N30)</f>
        <v/>
      </c>
      <c r="P30" s="192">
        <f>IF(I30="N/A","N/A",N30-O30)</f>
        <v/>
      </c>
    </row>
    <row r="31" ht="14.6" customHeight="1">
      <c r="A31" s="278" t="n"/>
      <c r="B31" s="193" t="inlineStr">
        <is>
          <t>勿删</t>
        </is>
      </c>
      <c r="C31" s="182" t="inlineStr">
        <is>
          <t>不适用</t>
        </is>
      </c>
      <c r="D31" s="183" t="n"/>
      <c r="E31" s="183" t="n"/>
      <c r="F31" s="183" t="n"/>
      <c r="G31" s="183" t="n">
        <v>1</v>
      </c>
      <c r="H31" s="183" t="n">
        <v>1</v>
      </c>
      <c r="I31" s="213">
        <f>IF(C31="不适用","N/A",IF(D31&lt;&gt;"√",0,IF((E31="√")*AND(F31="√"),1,IF((E31&lt;&gt;"√")*AND(F31="√"),0.5*G31,IF((E31="√")*AND(F31&lt;&gt;"√"),0.5*H31,IF((E31&lt;&gt;"√")*AND(F31&lt;&gt;"√"),0.25*G31*H31))))))</f>
        <v/>
      </c>
      <c r="J31" s="213">
        <f>IF(I31="N/A","不适用",IF(I31=1,"符合",IF(I31=0,"不符合","部分符合")))</f>
        <v/>
      </c>
      <c r="K31" s="278" t="n"/>
      <c r="L31" s="278" t="n"/>
      <c r="M31" s="278" t="n"/>
      <c r="N31" s="191">
        <f>IF(I31="N/A","N/A",整体测评!O$13/M$23)</f>
        <v/>
      </c>
      <c r="O31" s="192">
        <f>IF(I31="N/A","N/A",I31*N31)</f>
        <v/>
      </c>
      <c r="P31" s="192">
        <f>IF(I31="N/A","N/A",N31-O31)</f>
        <v/>
      </c>
    </row>
    <row r="32" ht="14.6" customHeight="1">
      <c r="A32" s="214" t="inlineStr">
        <is>
          <t>重要信息资源安全标记完整性</t>
        </is>
      </c>
      <c r="B32" s="195" t="inlineStr">
        <is>
          <t>OBS管理平台</t>
        </is>
      </c>
      <c r="C32" s="176" t="inlineStr">
        <is>
          <t>不适用</t>
        </is>
      </c>
      <c r="D32" s="183" t="inlineStr">
        <is>
          <t>/</t>
        </is>
      </c>
      <c r="E32" s="183" t="inlineStr">
        <is>
          <t>/</t>
        </is>
      </c>
      <c r="F32" s="183" t="inlineStr">
        <is>
          <t>/</t>
        </is>
      </c>
      <c r="G32" s="183" t="n">
        <v>1</v>
      </c>
      <c r="H32" s="183" t="n">
        <v>1</v>
      </c>
      <c r="I32" s="213">
        <f>IF(C32="不适用","N/A",IF(D32&lt;&gt;"√",0,IF((E32="√")*AND(F32="√"),1,IF((E32&lt;&gt;"√")*AND(F32="√"),0.5*G32,IF((E32="√")*AND(F32&lt;&gt;"√"),0.5*H32,IF((E32&lt;&gt;"√")*AND(F32&lt;&gt;"√"),0.25*G32*H32))))))</f>
        <v/>
      </c>
      <c r="J32" s="213">
        <f>IF(I32="N/A","不适用",IF(I32=1,"符合",IF(I32=0,"不符合","部分符合")))</f>
        <v/>
      </c>
      <c r="K32" s="282">
        <f>IF(COUNTIF($I32:$I40,"N/A")=COUNTA($I32:$I40),"N/A",AVERAGE($I32:$I40))</f>
        <v/>
      </c>
      <c r="L32" s="212">
        <f>IF(K32="N/A","不适用",IF(K32=1,"符合",IF(K32=0,"不符合","部分符合")))</f>
        <v/>
      </c>
      <c r="M32" s="213">
        <f>(COUNTA($C32:$C40)-COUNTIF($C32:$C40,"不适用"))</f>
        <v/>
      </c>
      <c r="N32" s="191">
        <f>IF(I32="N/A","N/A",整体测评!O$14/M$32)</f>
        <v/>
      </c>
      <c r="O32" s="192">
        <f>IF(I32="N/A","N/A",I32*N32)</f>
        <v/>
      </c>
      <c r="P32" s="192">
        <f>IF(I32="N/A","N/A",N32-O32)</f>
        <v/>
      </c>
    </row>
    <row r="33" ht="14.6" customHeight="1">
      <c r="A33" s="280" t="n"/>
      <c r="B33" s="188" t="inlineStr">
        <is>
          <t>麒麟V10服务器</t>
        </is>
      </c>
      <c r="C33" s="176" t="inlineStr">
        <is>
          <t>不适用</t>
        </is>
      </c>
      <c r="D33" s="183" t="inlineStr">
        <is>
          <t>/</t>
        </is>
      </c>
      <c r="E33" s="183" t="inlineStr">
        <is>
          <t>/</t>
        </is>
      </c>
      <c r="F33" s="183" t="inlineStr">
        <is>
          <t>/</t>
        </is>
      </c>
      <c r="G33" s="183" t="n">
        <v>1</v>
      </c>
      <c r="H33" s="183" t="n">
        <v>1</v>
      </c>
      <c r="I33" s="213">
        <f>IF(C33="不适用","N/A",IF(D33&lt;&gt;"√",0,IF((E33="√")*AND(F33="√"),1,IF((E33&lt;&gt;"√")*AND(F33="√"),0.5*G33,IF((E33="√")*AND(F33&lt;&gt;"√"),0.5*H33,IF((E33&lt;&gt;"√")*AND(F33&lt;&gt;"√"),0.25*G33*H33))))))</f>
        <v/>
      </c>
      <c r="J33" s="213">
        <f>IF(I33="N/A","不适用",IF(I33=1,"符合",IF(I33=0,"不符合","部分符合")))</f>
        <v/>
      </c>
      <c r="K33" s="280" t="n"/>
      <c r="L33" s="280" t="n"/>
      <c r="M33" s="280" t="n"/>
      <c r="N33" s="191">
        <f>IF(I33="N/A","N/A",整体测评!O$14/M$32)</f>
        <v/>
      </c>
      <c r="O33" s="192">
        <f>IF(I33="N/A","N/A",I33*N33)</f>
        <v/>
      </c>
      <c r="P33" s="192">
        <f>IF(I33="N/A","N/A",N33-O33)</f>
        <v/>
      </c>
    </row>
    <row r="34" ht="14.6" customHeight="1">
      <c r="A34" s="280" t="n"/>
      <c r="B34" s="188" t="inlineStr">
        <is>
          <t>Linux服务器</t>
        </is>
      </c>
      <c r="C34" s="176" t="inlineStr">
        <is>
          <t>不适用</t>
        </is>
      </c>
      <c r="D34" s="183" t="inlineStr">
        <is>
          <t>/</t>
        </is>
      </c>
      <c r="E34" s="183" t="inlineStr">
        <is>
          <t>/</t>
        </is>
      </c>
      <c r="F34" s="183" t="inlineStr">
        <is>
          <t>/</t>
        </is>
      </c>
      <c r="G34" s="183" t="n">
        <v>1</v>
      </c>
      <c r="H34" s="183" t="n">
        <v>1</v>
      </c>
      <c r="I34" s="213">
        <f>IF(C34="不适用","N/A",IF(D34&lt;&gt;"√",0,IF((E34="√")*AND(F34="√"),1,IF((E34&lt;&gt;"√")*AND(F34="√"),0.5*G34,IF((E34="√")*AND(F34&lt;&gt;"√"),0.5*H34,IF((E34&lt;&gt;"√")*AND(F34&lt;&gt;"√"),0.25*G34*H34))))))</f>
        <v/>
      </c>
      <c r="J34" s="213">
        <f>IF(I34="N/A","不适用",IF(I34=1,"符合",IF(I34=0,"不符合","部分符合")))</f>
        <v/>
      </c>
      <c r="K34" s="280" t="n"/>
      <c r="L34" s="280" t="n"/>
      <c r="M34" s="280" t="n"/>
      <c r="N34" s="191">
        <f>IF(I34="N/A","N/A",整体测评!O$14/M$32)</f>
        <v/>
      </c>
      <c r="O34" s="192">
        <f>IF(I34="N/A","N/A",I34*N34)</f>
        <v/>
      </c>
      <c r="P34" s="192">
        <f>IF(I34="N/A","N/A",N34-O34)</f>
        <v/>
      </c>
    </row>
    <row r="35" ht="14.6" customHeight="1">
      <c r="A35" s="280" t="n"/>
      <c r="B35" s="188" t="inlineStr">
        <is>
          <t>Oracle数据库</t>
        </is>
      </c>
      <c r="C35" s="176" t="inlineStr">
        <is>
          <t>不适用</t>
        </is>
      </c>
      <c r="D35" s="183" t="inlineStr">
        <is>
          <t>/</t>
        </is>
      </c>
      <c r="E35" s="183" t="inlineStr">
        <is>
          <t>/</t>
        </is>
      </c>
      <c r="F35" s="183" t="inlineStr">
        <is>
          <t>/</t>
        </is>
      </c>
      <c r="G35" s="183" t="n">
        <v>1</v>
      </c>
      <c r="H35" s="183" t="n">
        <v>1</v>
      </c>
      <c r="I35" s="213">
        <f>IF(C35="不适用","N/A",IF(D35&lt;&gt;"√",0,IF((E35="√")*AND(F35="√"),1,IF((E35&lt;&gt;"√")*AND(F35="√"),0.5*G35,IF((E35="√")*AND(F35&lt;&gt;"√"),0.5*H35,IF((E35&lt;&gt;"√")*AND(F35&lt;&gt;"√"),0.25*G35*H35))))))</f>
        <v/>
      </c>
      <c r="J35" s="213">
        <f>IF(I35="N/A","不适用",IF(I35=1,"符合",IF(I35=0,"不符合","部分符合")))</f>
        <v/>
      </c>
      <c r="K35" s="280" t="n"/>
      <c r="L35" s="280" t="n"/>
      <c r="M35" s="280" t="n"/>
      <c r="N35" s="191">
        <f>IF(I35="N/A","N/A",整体测评!O$14/M$32)</f>
        <v/>
      </c>
      <c r="O35" s="192">
        <f>IF(I35="N/A","N/A",I35*N35)</f>
        <v/>
      </c>
      <c r="P35" s="192">
        <f>IF(I35="N/A","N/A",N35-O35)</f>
        <v/>
      </c>
    </row>
    <row r="36" ht="14.6" customHeight="1">
      <c r="A36" s="280" t="n"/>
      <c r="B36" s="188" t="inlineStr">
        <is>
          <t>签名验签服务器</t>
        </is>
      </c>
      <c r="C36" s="176" t="inlineStr">
        <is>
          <t>不适用</t>
        </is>
      </c>
      <c r="D36" s="183" t="inlineStr">
        <is>
          <t>/</t>
        </is>
      </c>
      <c r="E36" s="183" t="inlineStr">
        <is>
          <t>/</t>
        </is>
      </c>
      <c r="F36" s="183" t="inlineStr">
        <is>
          <t>/</t>
        </is>
      </c>
      <c r="G36" s="183" t="n">
        <v>1</v>
      </c>
      <c r="H36" s="183" t="n">
        <v>1</v>
      </c>
      <c r="I36" s="213">
        <f>IF(C36="不适用","N/A",IF(D36&lt;&gt;"√",0,IF((E36="√")*AND(F36="√"),1,IF((E36&lt;&gt;"√")*AND(F36="√"),0.5*G36,IF((E36="√")*AND(F36&lt;&gt;"√"),0.5*H36,IF((E36&lt;&gt;"√")*AND(F36&lt;&gt;"√"),0.25*G36*H36))))))</f>
        <v/>
      </c>
      <c r="J36" s="213">
        <f>IF(I36="N/A","不适用",IF(I36=1,"符合",IF(I36=0,"不符合","部分符合")))</f>
        <v/>
      </c>
      <c r="K36" s="280" t="n"/>
      <c r="L36" s="280" t="n"/>
      <c r="M36" s="280" t="n"/>
      <c r="N36" s="191">
        <f>IF(I36="N/A","N/A",整体测评!O$14/M$32)</f>
        <v/>
      </c>
      <c r="O36" s="192">
        <f>IF(I36="N/A","N/A",I36*N36)</f>
        <v/>
      </c>
      <c r="P36" s="192">
        <f>IF(I36="N/A","N/A",N36-O36)</f>
        <v/>
      </c>
    </row>
    <row r="37" ht="14.6" customHeight="1">
      <c r="A37" s="280" t="n"/>
      <c r="B37" s="188" t="inlineStr">
        <is>
          <t>服务器密码机</t>
        </is>
      </c>
      <c r="C37" s="176" t="inlineStr">
        <is>
          <t>不适用</t>
        </is>
      </c>
      <c r="D37" s="183" t="inlineStr">
        <is>
          <t>/</t>
        </is>
      </c>
      <c r="E37" s="183" t="inlineStr">
        <is>
          <t>/</t>
        </is>
      </c>
      <c r="F37" s="183" t="inlineStr">
        <is>
          <t>/</t>
        </is>
      </c>
      <c r="G37" s="183" t="n">
        <v>1</v>
      </c>
      <c r="H37" s="183" t="n">
        <v>1</v>
      </c>
      <c r="I37" s="213">
        <f>IF(C37="不适用","N/A",IF(D37&lt;&gt;"√",0,IF((E37="√")*AND(F37="√"),1,IF((E37&lt;&gt;"√")*AND(F37="√"),0.5*G37,IF((E37="√")*AND(F37&lt;&gt;"√"),0.5*H37,IF((E37&lt;&gt;"√")*AND(F37&lt;&gt;"√"),0.25*G37*H37))))))</f>
        <v/>
      </c>
      <c r="J37" s="213">
        <f>IF(I37="N/A","不适用",IF(I37=1,"符合",IF(I37=0,"不符合","部分符合")))</f>
        <v/>
      </c>
      <c r="K37" s="280" t="n"/>
      <c r="L37" s="280" t="n"/>
      <c r="M37" s="280" t="n"/>
      <c r="N37" s="191">
        <f>IF(I37="N/A","N/A",整体测评!O$14/M$32)</f>
        <v/>
      </c>
      <c r="O37" s="192">
        <f>IF(I37="N/A","N/A",I37*N37)</f>
        <v/>
      </c>
      <c r="P37" s="192">
        <f>IF(I37="N/A","N/A",N37-O37)</f>
        <v/>
      </c>
    </row>
    <row r="38" ht="14.6" customHeight="1">
      <c r="A38" s="280" t="n"/>
      <c r="B38" s="188" t="inlineStr">
        <is>
          <t>TDSQL数据库</t>
        </is>
      </c>
      <c r="C38" s="176" t="inlineStr">
        <is>
          <t>不适用</t>
        </is>
      </c>
      <c r="D38" s="183" t="inlineStr">
        <is>
          <t>/</t>
        </is>
      </c>
      <c r="E38" s="183" t="inlineStr">
        <is>
          <t>/</t>
        </is>
      </c>
      <c r="F38" s="183" t="inlineStr">
        <is>
          <t>/</t>
        </is>
      </c>
      <c r="G38" s="183" t="n">
        <v>1</v>
      </c>
      <c r="H38" s="183" t="n">
        <v>1</v>
      </c>
      <c r="I38" s="213">
        <f>IF(C38="不适用","N/A",IF(D38&lt;&gt;"√",0,IF((E38="√")*AND(F38="√"),1,IF((E38&lt;&gt;"√")*AND(F38="√"),0.5*G38,IF((E38="√")*AND(F38&lt;&gt;"√"),0.5*H38,IF((E38&lt;&gt;"√")*AND(F38&lt;&gt;"√"),0.25*G38*H38))))))</f>
        <v/>
      </c>
      <c r="J38" s="213">
        <f>IF(I38="N/A","不适用",IF(I38=1,"符合",IF(I38=0,"不符合","部分符合")))</f>
        <v/>
      </c>
      <c r="K38" s="280" t="n"/>
      <c r="L38" s="280" t="n"/>
      <c r="M38" s="280" t="n"/>
      <c r="N38" s="191">
        <f>IF(I38="N/A","N/A",整体测评!O$14/M$32)</f>
        <v/>
      </c>
      <c r="O38" s="192">
        <f>IF(I38="N/A","N/A",I38*N38)</f>
        <v/>
      </c>
      <c r="P38" s="192">
        <f>IF(I38="N/A","N/A",N38-O38)</f>
        <v/>
      </c>
    </row>
    <row r="39" ht="27.9" customHeight="1">
      <c r="A39" s="280" t="n"/>
      <c r="B39" s="188" t="inlineStr">
        <is>
          <t>SOM安全运维管理平台</t>
        </is>
      </c>
      <c r="C39" s="176" t="inlineStr">
        <is>
          <t>不适用</t>
        </is>
      </c>
      <c r="D39" s="183" t="inlineStr">
        <is>
          <t>/</t>
        </is>
      </c>
      <c r="E39" s="183" t="inlineStr">
        <is>
          <t>/</t>
        </is>
      </c>
      <c r="F39" s="183" t="inlineStr">
        <is>
          <t>/</t>
        </is>
      </c>
      <c r="G39" s="183" t="n">
        <v>1</v>
      </c>
      <c r="H39" s="183" t="n">
        <v>1</v>
      </c>
      <c r="I39" s="213">
        <f>IF(C39="不适用","N/A",IF(D39&lt;&gt;"√",0,IF((E39="√")*AND(F39="√"),1,IF((E39&lt;&gt;"√")*AND(F39="√"),0.5*G39,IF((E39="√")*AND(F39&lt;&gt;"√"),0.5*H39,IF((E39&lt;&gt;"√")*AND(F39&lt;&gt;"√"),0.25*G39*H39))))))</f>
        <v/>
      </c>
      <c r="J39" s="213">
        <f>IF(I39="N/A","不适用",IF(I39=1,"符合",IF(I39=0,"不符合","部分符合")))</f>
        <v/>
      </c>
      <c r="K39" s="280" t="n"/>
      <c r="L39" s="280" t="n"/>
      <c r="M39" s="280" t="n"/>
      <c r="N39" s="191">
        <f>IF(I39="N/A","N/A",整体测评!O$14/M$32)</f>
        <v/>
      </c>
      <c r="O39" s="192">
        <f>IF(I39="N/A","N/A",I39*N39)</f>
        <v/>
      </c>
      <c r="P39" s="192">
        <f>IF(I39="N/A","N/A",N39-O39)</f>
        <v/>
      </c>
    </row>
    <row r="40" ht="14.6" customHeight="1">
      <c r="A40" s="278" t="n"/>
      <c r="B40" s="193" t="inlineStr">
        <is>
          <t>勿删</t>
        </is>
      </c>
      <c r="C40" s="182" t="inlineStr">
        <is>
          <t>不适用</t>
        </is>
      </c>
      <c r="D40" s="183" t="n"/>
      <c r="E40" s="183" t="n"/>
      <c r="F40" s="183" t="n"/>
      <c r="G40" s="183" t="n">
        <v>1</v>
      </c>
      <c r="H40" s="183" t="n">
        <v>1</v>
      </c>
      <c r="I40" s="213">
        <f>IF(C40="不适用","N/A",IF(D40&lt;&gt;"√",0,IF((E40="√")*AND(F40="√"),1,IF((E40&lt;&gt;"√")*AND(F40="√"),0.5*G40,IF((E40="√")*AND(F40&lt;&gt;"√"),0.5*H40,IF((E40&lt;&gt;"√")*AND(F40&lt;&gt;"√"),0.25*G40*H40))))))</f>
        <v/>
      </c>
      <c r="J40" s="213">
        <f>IF(I40="N/A","不适用",IF(I40=1,"符合",IF(I40=0,"不符合","部分符合")))</f>
        <v/>
      </c>
      <c r="K40" s="278" t="n"/>
      <c r="L40" s="278" t="n"/>
      <c r="M40" s="278" t="n"/>
      <c r="N40" s="191">
        <f>IF(I40="N/A","N/A",整体测评!O$14/M$32)</f>
        <v/>
      </c>
      <c r="O40" s="192">
        <f>IF(I40="N/A","N/A",I40*N40)</f>
        <v/>
      </c>
      <c r="P40" s="192">
        <f>IF(I40="N/A","N/A",N40-O40)</f>
        <v/>
      </c>
    </row>
    <row r="41" ht="14.6" customHeight="1">
      <c r="A41" s="214" t="inlineStr">
        <is>
          <t>日志记录完整性</t>
        </is>
      </c>
      <c r="B41" s="195" t="inlineStr">
        <is>
          <t>OBS管理平台</t>
        </is>
      </c>
      <c r="C41" s="176" t="inlineStr">
        <is>
          <t>适用</t>
        </is>
      </c>
      <c r="D41" s="183" t="inlineStr">
        <is>
          <t>√</t>
        </is>
      </c>
      <c r="E41" s="183" t="inlineStr">
        <is>
          <t>√</t>
        </is>
      </c>
      <c r="F41" s="183" t="inlineStr">
        <is>
          <t>√</t>
        </is>
      </c>
      <c r="G41" s="183" t="n">
        <v>1</v>
      </c>
      <c r="H41" s="183" t="n">
        <v>1</v>
      </c>
      <c r="I41" s="213">
        <f>IF(C41="不适用","N/A",IF(D41&lt;&gt;"√",0,IF((E41="√")*AND(F41="√"),1,IF((E41&lt;&gt;"√")*AND(F41="√"),0.5*G41,IF((E41="√")*AND(F41&lt;&gt;"√"),0.5*H41,IF((E41&lt;&gt;"√")*AND(F41&lt;&gt;"√"),0.25*G41*H41))))))</f>
        <v/>
      </c>
      <c r="J41" s="213">
        <f>IF(I41="N/A","不适用",IF(I41=1,"符合",IF(I41=0,"不符合","部分符合")))</f>
        <v/>
      </c>
      <c r="K41" s="282">
        <f>IF(COUNTIF($I41:$I49,"N/A")=COUNTA($I41:$I49),"N/A",AVERAGE($I41:$I49))</f>
        <v/>
      </c>
      <c r="L41" s="212">
        <f>IF(K41="N/A","不适用",IF(K41=1,"符合",IF(K41=0,"不符合","部分符合")))</f>
        <v/>
      </c>
      <c r="M41" s="213">
        <f>(COUNTA($C41:$C49)-COUNTIF($C41:$C49,"不适用"))</f>
        <v/>
      </c>
      <c r="N41" s="191">
        <f>IF(I41="N/A","N/A",整体测评!O$15/M$41)</f>
        <v/>
      </c>
      <c r="O41" s="192">
        <f>IF(I41="N/A","N/A",I41*N41)</f>
        <v/>
      </c>
      <c r="P41" s="192">
        <f>IF(I41="N/A","N/A",N41-O41)</f>
        <v/>
      </c>
    </row>
    <row r="42" ht="14.6" customHeight="1">
      <c r="A42" s="280" t="n"/>
      <c r="B42" s="188" t="inlineStr">
        <is>
          <t>麒麟V10服务器</t>
        </is>
      </c>
      <c r="C42" s="176" t="inlineStr">
        <is>
          <t>适用</t>
        </is>
      </c>
      <c r="D42" s="176" t="inlineStr">
        <is>
          <t>×</t>
        </is>
      </c>
      <c r="E42" s="183" t="inlineStr">
        <is>
          <t>/</t>
        </is>
      </c>
      <c r="F42" s="183" t="inlineStr">
        <is>
          <t>/</t>
        </is>
      </c>
      <c r="G42" s="183" t="n">
        <v>1</v>
      </c>
      <c r="H42" s="183" t="n">
        <v>1</v>
      </c>
      <c r="I42" s="213">
        <f>IF(C42="不适用","N/A",IF(D42&lt;&gt;"√",0,IF((E42="√")*AND(F42="√"),1,IF((E42&lt;&gt;"√")*AND(F42="√"),0.5*G42,IF((E42="√")*AND(F42&lt;&gt;"√"),0.5*H42,IF((E42&lt;&gt;"√")*AND(F42&lt;&gt;"√"),0.25*G42*H42))))))</f>
        <v/>
      </c>
      <c r="J42" s="213">
        <f>IF(I42="N/A","不适用",IF(I42=1,"符合",IF(I42=0,"不符合","部分符合")))</f>
        <v/>
      </c>
      <c r="K42" s="280" t="n"/>
      <c r="L42" s="280" t="n"/>
      <c r="M42" s="280" t="n"/>
      <c r="N42" s="191">
        <f>IF(I42="N/A","N/A",整体测评!O$15/M$41)</f>
        <v/>
      </c>
      <c r="O42" s="192">
        <f>IF(I42="N/A","N/A",I42*N42)</f>
        <v/>
      </c>
      <c r="P42" s="192">
        <f>IF(I42="N/A","N/A",N42-O42)</f>
        <v/>
      </c>
    </row>
    <row r="43" ht="14.6" customHeight="1">
      <c r="A43" s="280" t="n"/>
      <c r="B43" s="188" t="inlineStr">
        <is>
          <t>Linux服务器</t>
        </is>
      </c>
      <c r="C43" s="176" t="inlineStr">
        <is>
          <t>适用</t>
        </is>
      </c>
      <c r="D43" s="176" t="inlineStr">
        <is>
          <t>×</t>
        </is>
      </c>
      <c r="E43" s="183" t="inlineStr">
        <is>
          <t>/</t>
        </is>
      </c>
      <c r="F43" s="183" t="inlineStr">
        <is>
          <t>/</t>
        </is>
      </c>
      <c r="G43" s="183" t="n">
        <v>1</v>
      </c>
      <c r="H43" s="183" t="n">
        <v>1</v>
      </c>
      <c r="I43" s="213">
        <f>IF(C43="不适用","N/A",IF(D43&lt;&gt;"√",0,IF((E43="√")*AND(F43="√"),1,IF((E43&lt;&gt;"√")*AND(F43="√"),0.5*G43,IF((E43="√")*AND(F43&lt;&gt;"√"),0.5*H43,IF((E43&lt;&gt;"√")*AND(F43&lt;&gt;"√"),0.25*G43*H43))))))</f>
        <v/>
      </c>
      <c r="J43" s="213">
        <f>IF(I43="N/A","不适用",IF(I43=1,"符合",IF(I43=0,"不符合","部分符合")))</f>
        <v/>
      </c>
      <c r="K43" s="280" t="n"/>
      <c r="L43" s="280" t="n"/>
      <c r="M43" s="280" t="n"/>
      <c r="N43" s="191">
        <f>IF(I43="N/A","N/A",整体测评!O$15/M$41)</f>
        <v/>
      </c>
      <c r="O43" s="192">
        <f>IF(I43="N/A","N/A",I43*N43)</f>
        <v/>
      </c>
      <c r="P43" s="192">
        <f>IF(I43="N/A","N/A",N43-O43)</f>
        <v/>
      </c>
    </row>
    <row r="44" ht="14.6" customHeight="1">
      <c r="A44" s="280" t="n"/>
      <c r="B44" s="188" t="inlineStr">
        <is>
          <t>Oracle数据库</t>
        </is>
      </c>
      <c r="C44" s="176" t="inlineStr">
        <is>
          <t>适用</t>
        </is>
      </c>
      <c r="D44" s="176" t="inlineStr">
        <is>
          <t>×</t>
        </is>
      </c>
      <c r="E44" s="183" t="inlineStr">
        <is>
          <t>/</t>
        </is>
      </c>
      <c r="F44" s="183" t="inlineStr">
        <is>
          <t>/</t>
        </is>
      </c>
      <c r="G44" s="183" t="n">
        <v>1</v>
      </c>
      <c r="H44" s="183" t="n">
        <v>1</v>
      </c>
      <c r="I44" s="213">
        <f>IF(C44="不适用","N/A",IF(D44&lt;&gt;"√",0,IF((E44="√")*AND(F44="√"),1,IF((E44&lt;&gt;"√")*AND(F44="√"),0.5*G44,IF((E44="√")*AND(F44&lt;&gt;"√"),0.5*H44,IF((E44&lt;&gt;"√")*AND(F44&lt;&gt;"√"),0.25*G44*H44))))))</f>
        <v/>
      </c>
      <c r="J44" s="213">
        <f>IF(I44="N/A","不适用",IF(I44=1,"符合",IF(I44=0,"不符合","部分符合")))</f>
        <v/>
      </c>
      <c r="K44" s="280" t="n"/>
      <c r="L44" s="280" t="n"/>
      <c r="M44" s="280" t="n"/>
      <c r="N44" s="191">
        <f>IF(I44="N/A","N/A",整体测评!O$15/M$41)</f>
        <v/>
      </c>
      <c r="O44" s="192">
        <f>IF(I44="N/A","N/A",I44*N44)</f>
        <v/>
      </c>
      <c r="P44" s="192">
        <f>IF(I44="N/A","N/A",N44-O44)</f>
        <v/>
      </c>
    </row>
    <row r="45" ht="14.6" customHeight="1">
      <c r="A45" s="280" t="n"/>
      <c r="B45" s="188" t="inlineStr">
        <is>
          <t>签名验签服务器</t>
        </is>
      </c>
      <c r="C45" s="176" t="inlineStr">
        <is>
          <t>适用</t>
        </is>
      </c>
      <c r="D45" s="176" t="inlineStr">
        <is>
          <t>√</t>
        </is>
      </c>
      <c r="E45" s="176" t="inlineStr">
        <is>
          <t>√</t>
        </is>
      </c>
      <c r="F45" s="176" t="inlineStr">
        <is>
          <t>√</t>
        </is>
      </c>
      <c r="G45" s="183" t="n">
        <v>1</v>
      </c>
      <c r="H45" s="183" t="n">
        <v>1</v>
      </c>
      <c r="I45" s="213">
        <f>IF(C45="不适用","N/A",IF(D45&lt;&gt;"√",0,IF((E45="√")*AND(F45="√"),1,IF((E45&lt;&gt;"√")*AND(F45="√"),0.5*G45,IF((E45="√")*AND(F45&lt;&gt;"√"),0.5*H45,IF((E45&lt;&gt;"√")*AND(F45&lt;&gt;"√"),0.25*G45*H45))))))</f>
        <v/>
      </c>
      <c r="J45" s="213">
        <f>IF(I45="N/A","不适用",IF(I45=1,"符合",IF(I45=0,"不符合","部分符合")))</f>
        <v/>
      </c>
      <c r="K45" s="280" t="n"/>
      <c r="L45" s="280" t="n"/>
      <c r="M45" s="280" t="n"/>
      <c r="N45" s="191">
        <f>IF(I45="N/A","N/A",整体测评!O$15/M$41)</f>
        <v/>
      </c>
      <c r="O45" s="192">
        <f>IF(I45="N/A","N/A",I45*N45)</f>
        <v/>
      </c>
      <c r="P45" s="192">
        <f>IF(I45="N/A","N/A",N45-O45)</f>
        <v/>
      </c>
    </row>
    <row r="46" ht="14.6" customHeight="1">
      <c r="A46" s="280" t="n"/>
      <c r="B46" s="188" t="inlineStr">
        <is>
          <t>服务器密码机</t>
        </is>
      </c>
      <c r="C46" s="176" t="inlineStr">
        <is>
          <t>适用</t>
        </is>
      </c>
      <c r="D46" s="176" t="inlineStr">
        <is>
          <t>√</t>
        </is>
      </c>
      <c r="E46" s="176" t="inlineStr">
        <is>
          <t>√</t>
        </is>
      </c>
      <c r="F46" s="176" t="inlineStr">
        <is>
          <t>√</t>
        </is>
      </c>
      <c r="G46" s="183" t="n">
        <v>1</v>
      </c>
      <c r="H46" s="183" t="n">
        <v>1</v>
      </c>
      <c r="I46" s="213">
        <f>IF(C46="不适用","N/A",IF(D46&lt;&gt;"√",0,IF((E46="√")*AND(F46="√"),1,IF((E46&lt;&gt;"√")*AND(F46="√"),0.5*G46,IF((E46="√")*AND(F46&lt;&gt;"√"),0.5*H46,IF((E46&lt;&gt;"√")*AND(F46&lt;&gt;"√"),0.25*G46*H46))))))</f>
        <v/>
      </c>
      <c r="J46" s="213">
        <f>IF(I46="N/A","不适用",IF(I46=1,"符合",IF(I46=0,"不符合","部分符合")))</f>
        <v/>
      </c>
      <c r="K46" s="280" t="n"/>
      <c r="L46" s="280" t="n"/>
      <c r="M46" s="280" t="n"/>
      <c r="N46" s="191">
        <f>IF(I46="N/A","N/A",整体测评!O$15/M$41)</f>
        <v/>
      </c>
      <c r="O46" s="192">
        <f>IF(I46="N/A","N/A",I46*N46)</f>
        <v/>
      </c>
      <c r="P46" s="192">
        <f>IF(I46="N/A","N/A",N46-O46)</f>
        <v/>
      </c>
    </row>
    <row r="47" ht="14.6" customHeight="1">
      <c r="A47" s="280" t="n"/>
      <c r="B47" s="188" t="inlineStr">
        <is>
          <t>TDSQL数据库</t>
        </is>
      </c>
      <c r="C47" s="176" t="inlineStr">
        <is>
          <t>适用</t>
        </is>
      </c>
      <c r="D47" s="176" t="inlineStr">
        <is>
          <t>×</t>
        </is>
      </c>
      <c r="E47" s="183" t="inlineStr">
        <is>
          <t>/</t>
        </is>
      </c>
      <c r="F47" s="183" t="inlineStr">
        <is>
          <t>/</t>
        </is>
      </c>
      <c r="G47" s="183" t="n">
        <v>1</v>
      </c>
      <c r="H47" s="183" t="n">
        <v>1</v>
      </c>
      <c r="I47" s="213">
        <f>IF(C47="不适用","N/A",IF(D47&lt;&gt;"√",0,IF((E47="√")*AND(F47="√"),1,IF((E47&lt;&gt;"√")*AND(F47="√"),0.5*G47,IF((E47="√")*AND(F47&lt;&gt;"√"),0.5*H47,IF((E47&lt;&gt;"√")*AND(F47&lt;&gt;"√"),0.25*G47*H47))))))</f>
        <v/>
      </c>
      <c r="J47" s="213">
        <f>IF(I47="N/A","不适用",IF(I47=1,"符合",IF(I47=0,"不符合","部分符合")))</f>
        <v/>
      </c>
      <c r="K47" s="280" t="n"/>
      <c r="L47" s="280" t="n"/>
      <c r="M47" s="280" t="n"/>
      <c r="N47" s="191">
        <f>IF(I47="N/A","N/A",整体测评!O$15/M$41)</f>
        <v/>
      </c>
      <c r="O47" s="192">
        <f>IF(I47="N/A","N/A",I47*N47)</f>
        <v/>
      </c>
      <c r="P47" s="192">
        <f>IF(I47="N/A","N/A",N47-O47)</f>
        <v/>
      </c>
    </row>
    <row r="48" ht="27.9" customHeight="1">
      <c r="A48" s="280" t="n"/>
      <c r="B48" s="188" t="inlineStr">
        <is>
          <t>SOM安全运维管理平台</t>
        </is>
      </c>
      <c r="C48" s="176" t="inlineStr">
        <is>
          <t>适用</t>
        </is>
      </c>
      <c r="D48" s="176" t="inlineStr">
        <is>
          <t>×</t>
        </is>
      </c>
      <c r="E48" s="183" t="inlineStr">
        <is>
          <t>/</t>
        </is>
      </c>
      <c r="F48" s="183" t="inlineStr">
        <is>
          <t>/</t>
        </is>
      </c>
      <c r="G48" s="183" t="n">
        <v>1</v>
      </c>
      <c r="H48" s="183" t="n">
        <v>1</v>
      </c>
      <c r="I48" s="213">
        <f>IF(C48="不适用","N/A",IF(D48&lt;&gt;"√",0,IF((E48="√")*AND(F48="√"),1,IF((E48&lt;&gt;"√")*AND(F48="√"),0.5*G48,IF((E48="√")*AND(F48&lt;&gt;"√"),0.5*H48,IF((E48&lt;&gt;"√")*AND(F48&lt;&gt;"√"),0.25*G48*H48))))))</f>
        <v/>
      </c>
      <c r="J48" s="213">
        <f>IF(I48="N/A","不适用",IF(I48=1,"符合",IF(I48=0,"不符合","部分符合")))</f>
        <v/>
      </c>
      <c r="K48" s="280" t="n"/>
      <c r="L48" s="280" t="n"/>
      <c r="M48" s="280" t="n"/>
      <c r="N48" s="191">
        <f>IF(I48="N/A","N/A",整体测评!O$15/M$41)</f>
        <v/>
      </c>
      <c r="O48" s="192">
        <f>IF(I48="N/A","N/A",I48*N48)</f>
        <v/>
      </c>
      <c r="P48" s="192">
        <f>IF(I48="N/A","N/A",N48-O48)</f>
        <v/>
      </c>
    </row>
    <row r="49" ht="14.6" customHeight="1">
      <c r="A49" s="278" t="n"/>
      <c r="B49" s="193" t="inlineStr">
        <is>
          <t>勿删</t>
        </is>
      </c>
      <c r="C49" s="182" t="inlineStr">
        <is>
          <t>不适用</t>
        </is>
      </c>
      <c r="D49" s="183" t="n"/>
      <c r="E49" s="183" t="n"/>
      <c r="F49" s="183" t="n"/>
      <c r="G49" s="183" t="n">
        <v>1</v>
      </c>
      <c r="H49" s="183" t="n">
        <v>1</v>
      </c>
      <c r="I49" s="213">
        <f>IF(C49="不适用","N/A",IF(D49&lt;&gt;"√",0,IF((E49="√")*AND(F49="√"),1,IF((E49&lt;&gt;"√")*AND(F49="√"),0.5*G49,IF((E49="√")*AND(F49&lt;&gt;"√"),0.5*H49,IF((E49&lt;&gt;"√")*AND(F49&lt;&gt;"√"),0.25*G49*H49))))))</f>
        <v/>
      </c>
      <c r="J49" s="213">
        <f>IF(I49="N/A","不适用",IF(I49=1,"符合",IF(I49=0,"不符合","部分符合")))</f>
        <v/>
      </c>
      <c r="K49" s="278" t="n"/>
      <c r="L49" s="278" t="n"/>
      <c r="M49" s="278" t="n"/>
      <c r="N49" s="191">
        <f>IF(I49="N/A","N/A",整体测评!O$15/M$41)</f>
        <v/>
      </c>
      <c r="O49" s="192">
        <f>IF(I49="N/A","N/A",I49*N49)</f>
        <v/>
      </c>
      <c r="P49" s="192">
        <f>IF(I49="N/A","N/A",N49-O49)</f>
        <v/>
      </c>
    </row>
    <row r="50" ht="14.6" customHeight="1">
      <c r="A50" s="214" t="inlineStr">
        <is>
          <t>重要可执行程序完整性、重要可执行程序来源真实性</t>
        </is>
      </c>
      <c r="B50" s="195" t="inlineStr">
        <is>
          <t>OBS管理平台</t>
        </is>
      </c>
      <c r="C50" s="176" t="inlineStr">
        <is>
          <t>适用</t>
        </is>
      </c>
      <c r="D50" s="183" t="inlineStr">
        <is>
          <t>√</t>
        </is>
      </c>
      <c r="E50" s="183" t="inlineStr">
        <is>
          <t>√</t>
        </is>
      </c>
      <c r="F50" s="183" t="inlineStr">
        <is>
          <t>√</t>
        </is>
      </c>
      <c r="G50" s="183" t="n">
        <v>1</v>
      </c>
      <c r="H50" s="183" t="n">
        <v>1</v>
      </c>
      <c r="I50" s="213">
        <f>IF(C50="不适用","N/A",IF(D50&lt;&gt;"√",0,IF((E50="√")*AND(F50="√"),1,IF((E50&lt;&gt;"√")*AND(F50="√"),0.5*G50,IF((E50="√")*AND(F50&lt;&gt;"√"),0.5*H50,IF((E50&lt;&gt;"√")*AND(F50&lt;&gt;"√"),0.25*G50*H50))))))</f>
        <v/>
      </c>
      <c r="J50" s="213">
        <f>IF(I50="N/A","不适用",IF(I50=1,"符合",IF(I50=0,"不符合","部分符合")))</f>
        <v/>
      </c>
      <c r="K50" s="282">
        <f>IF(COUNTIF($I50:$I58,"N/A")=COUNTA($I50:$I58),"N/A",AVERAGE($I50:$I58))</f>
        <v/>
      </c>
      <c r="L50" s="212">
        <f>IF(K50="N/A","不适用",IF(K50=1,"符合",IF(K50=0,"不符合","部分符合")))</f>
        <v/>
      </c>
      <c r="M50" s="213">
        <f>(COUNTA($C50:$C58)-COUNTIF($C50:$C58,"不适用"))</f>
        <v/>
      </c>
      <c r="N50" s="191">
        <f>IF(I50="N/A","N/A",整体测评!O$16/M$50)</f>
        <v/>
      </c>
      <c r="O50" s="192">
        <f>IF(I50="N/A","N/A",I50*N50)</f>
        <v/>
      </c>
      <c r="P50" s="192">
        <f>IF(I50="N/A","N/A",N50-O50)</f>
        <v/>
      </c>
    </row>
    <row r="51" ht="14.6" customHeight="1">
      <c r="A51" s="280" t="n"/>
      <c r="B51" s="188" t="inlineStr">
        <is>
          <t>麒麟V10服务器</t>
        </is>
      </c>
      <c r="C51" s="176" t="inlineStr">
        <is>
          <t>适用</t>
        </is>
      </c>
      <c r="D51" s="176" t="inlineStr">
        <is>
          <t>×</t>
        </is>
      </c>
      <c r="E51" s="183" t="inlineStr">
        <is>
          <t>/</t>
        </is>
      </c>
      <c r="F51" s="183" t="inlineStr">
        <is>
          <t>/</t>
        </is>
      </c>
      <c r="G51" s="183" t="n">
        <v>1</v>
      </c>
      <c r="H51" s="183" t="n">
        <v>1</v>
      </c>
      <c r="I51" s="213">
        <f>IF(C51="不适用","N/A",IF(D51&lt;&gt;"√",0,IF((E51="√")*AND(F51="√"),1,IF((E51&lt;&gt;"√")*AND(F51="√"),0.5*G51,IF((E51="√")*AND(F51&lt;&gt;"√"),0.5*H51,IF((E51&lt;&gt;"√")*AND(F51&lt;&gt;"√"),0.25*G51*H51))))))</f>
        <v/>
      </c>
      <c r="J51" s="213">
        <f>IF(I51="N/A","不适用",IF(I51=1,"符合",IF(I51=0,"不符合","部分符合")))</f>
        <v/>
      </c>
      <c r="K51" s="280" t="n"/>
      <c r="L51" s="280" t="n"/>
      <c r="M51" s="280" t="n"/>
      <c r="N51" s="191">
        <f>IF(I51="N/A","N/A",整体测评!O$16/M$50)</f>
        <v/>
      </c>
      <c r="O51" s="192">
        <f>IF(I51="N/A","N/A",I51*N51)</f>
        <v/>
      </c>
      <c r="P51" s="192">
        <f>IF(I51="N/A","N/A",N51-O51)</f>
        <v/>
      </c>
    </row>
    <row r="52" ht="14.6" customHeight="1">
      <c r="A52" s="280" t="n"/>
      <c r="B52" s="188" t="inlineStr">
        <is>
          <t>Linux服务器</t>
        </is>
      </c>
      <c r="C52" s="176" t="inlineStr">
        <is>
          <t>适用</t>
        </is>
      </c>
      <c r="D52" s="176" t="inlineStr">
        <is>
          <t>×</t>
        </is>
      </c>
      <c r="E52" s="183" t="inlineStr">
        <is>
          <t>/</t>
        </is>
      </c>
      <c r="F52" s="183" t="inlineStr">
        <is>
          <t>/</t>
        </is>
      </c>
      <c r="G52" s="183" t="n">
        <v>1</v>
      </c>
      <c r="H52" s="183" t="n">
        <v>1</v>
      </c>
      <c r="I52" s="213">
        <f>IF(C52="不适用","N/A",IF(D52&lt;&gt;"√",0,IF((E52="√")*AND(F52="√"),1,IF((E52&lt;&gt;"√")*AND(F52="√"),0.5*G52,IF((E52="√")*AND(F52&lt;&gt;"√"),0.5*H52,IF((E52&lt;&gt;"√")*AND(F52&lt;&gt;"√"),0.25*G52*H52))))))</f>
        <v/>
      </c>
      <c r="J52" s="213">
        <f>IF(I52="N/A","不适用",IF(I52=1,"符合",IF(I52=0,"不符合","部分符合")))</f>
        <v/>
      </c>
      <c r="K52" s="280" t="n"/>
      <c r="L52" s="280" t="n"/>
      <c r="M52" s="280" t="n"/>
      <c r="N52" s="191">
        <f>IF(I52="N/A","N/A",整体测评!O$16/M$50)</f>
        <v/>
      </c>
      <c r="O52" s="192">
        <f>IF(I52="N/A","N/A",I52*N52)</f>
        <v/>
      </c>
      <c r="P52" s="192">
        <f>IF(I52="N/A","N/A",N52-O52)</f>
        <v/>
      </c>
    </row>
    <row r="53" ht="14.6" customHeight="1">
      <c r="A53" s="280" t="n"/>
      <c r="B53" s="188" t="inlineStr">
        <is>
          <t>Oracle数据库</t>
        </is>
      </c>
      <c r="C53" s="176" t="inlineStr">
        <is>
          <t>不适用</t>
        </is>
      </c>
      <c r="D53" s="176" t="inlineStr">
        <is>
          <t>/</t>
        </is>
      </c>
      <c r="E53" s="183" t="inlineStr">
        <is>
          <t>/</t>
        </is>
      </c>
      <c r="F53" s="183" t="inlineStr">
        <is>
          <t>/</t>
        </is>
      </c>
      <c r="G53" s="183" t="n">
        <v>1</v>
      </c>
      <c r="H53" s="183" t="n">
        <v>1</v>
      </c>
      <c r="I53" s="213">
        <f>IF(C53="不适用","N/A",IF(D53&lt;&gt;"√",0,IF((E53="√")*AND(F53="√"),1,IF((E53&lt;&gt;"√")*AND(F53="√"),0.5*G53,IF((E53="√")*AND(F53&lt;&gt;"√"),0.5*H53,IF((E53&lt;&gt;"√")*AND(F53&lt;&gt;"√"),0.25*G53*H53))))))</f>
        <v/>
      </c>
      <c r="J53" s="213">
        <f>IF(I53="N/A","不适用",IF(I53=1,"符合",IF(I53=0,"不符合","部分符合")))</f>
        <v/>
      </c>
      <c r="K53" s="280" t="n"/>
      <c r="L53" s="280" t="n"/>
      <c r="M53" s="280" t="n"/>
      <c r="N53" s="191">
        <f>IF(I53="N/A","N/A",整体测评!O$16/M$50)</f>
        <v/>
      </c>
      <c r="O53" s="192">
        <f>IF(I53="N/A","N/A",I53*N53)</f>
        <v/>
      </c>
      <c r="P53" s="192">
        <f>IF(I53="N/A","N/A",N53-O53)</f>
        <v/>
      </c>
    </row>
    <row r="54" ht="14.6" customHeight="1">
      <c r="A54" s="280" t="n"/>
      <c r="B54" s="188" t="inlineStr">
        <is>
          <t>签名验签服务器</t>
        </is>
      </c>
      <c r="C54" s="176" t="inlineStr">
        <is>
          <t>适用</t>
        </is>
      </c>
      <c r="D54" s="176" t="inlineStr">
        <is>
          <t>√</t>
        </is>
      </c>
      <c r="E54" s="176" t="inlineStr">
        <is>
          <t>√</t>
        </is>
      </c>
      <c r="F54" s="176" t="inlineStr">
        <is>
          <t>√</t>
        </is>
      </c>
      <c r="G54" s="183" t="n">
        <v>1</v>
      </c>
      <c r="H54" s="183" t="n">
        <v>1</v>
      </c>
      <c r="I54" s="213">
        <f>IF(C54="不适用","N/A",IF(D54&lt;&gt;"√",0,IF((E54="√")*AND(F54="√"),1,IF((E54&lt;&gt;"√")*AND(F54="√"),0.5*G54,IF((E54="√")*AND(F54&lt;&gt;"√"),0.5*H54,IF((E54&lt;&gt;"√")*AND(F54&lt;&gt;"√"),0.25*G54*H54))))))</f>
        <v/>
      </c>
      <c r="J54" s="213">
        <f>IF(I54="N/A","不适用",IF(I54=1,"符合",IF(I54=0,"不符合","部分符合")))</f>
        <v/>
      </c>
      <c r="K54" s="280" t="n"/>
      <c r="L54" s="280" t="n"/>
      <c r="M54" s="280" t="n"/>
      <c r="N54" s="191">
        <f>IF(I54="N/A","N/A",整体测评!O$16/M$50)</f>
        <v/>
      </c>
      <c r="O54" s="192">
        <f>IF(I54="N/A","N/A",I54*N54)</f>
        <v/>
      </c>
      <c r="P54" s="192">
        <f>IF(I54="N/A","N/A",N54-O54)</f>
        <v/>
      </c>
    </row>
    <row r="55" ht="14.6" customHeight="1">
      <c r="A55" s="280" t="n"/>
      <c r="B55" s="188" t="inlineStr">
        <is>
          <t>服务器密码机</t>
        </is>
      </c>
      <c r="C55" s="176" t="inlineStr">
        <is>
          <t>适用</t>
        </is>
      </c>
      <c r="D55" s="176" t="inlineStr">
        <is>
          <t>√</t>
        </is>
      </c>
      <c r="E55" s="176" t="inlineStr">
        <is>
          <t>√</t>
        </is>
      </c>
      <c r="F55" s="176" t="inlineStr">
        <is>
          <t>√</t>
        </is>
      </c>
      <c r="G55" s="183" t="n">
        <v>1</v>
      </c>
      <c r="H55" s="183" t="n">
        <v>1</v>
      </c>
      <c r="I55" s="213">
        <f>IF(C55="不适用","N/A",IF(D55&lt;&gt;"√",0,IF((E55="√")*AND(F55="√"),1,IF((E55&lt;&gt;"√")*AND(F55="√"),0.5*G55,IF((E55="√")*AND(F55&lt;&gt;"√"),0.5*H55,IF((E55&lt;&gt;"√")*AND(F55&lt;&gt;"√"),0.25*G55*H55))))))</f>
        <v/>
      </c>
      <c r="J55" s="213">
        <f>IF(I55="N/A","不适用",IF(I55=1,"符合",IF(I55=0,"不符合","部分符合")))</f>
        <v/>
      </c>
      <c r="K55" s="280" t="n"/>
      <c r="L55" s="280" t="n"/>
      <c r="M55" s="280" t="n"/>
      <c r="N55" s="191">
        <f>IF(I55="N/A","N/A",整体测评!O$16/M$50)</f>
        <v/>
      </c>
      <c r="O55" s="192">
        <f>IF(I55="N/A","N/A",I55*N55)</f>
        <v/>
      </c>
      <c r="P55" s="192">
        <f>IF(I55="N/A","N/A",N55-O55)</f>
        <v/>
      </c>
    </row>
    <row r="56" ht="14.6" customHeight="1">
      <c r="A56" s="280" t="n"/>
      <c r="B56" s="188" t="inlineStr">
        <is>
          <t>TDSQL数据库</t>
        </is>
      </c>
      <c r="C56" s="176" t="inlineStr">
        <is>
          <t>不适用</t>
        </is>
      </c>
      <c r="D56" s="183" t="inlineStr">
        <is>
          <t>/</t>
        </is>
      </c>
      <c r="E56" s="183" t="inlineStr">
        <is>
          <t>/</t>
        </is>
      </c>
      <c r="F56" s="183" t="inlineStr">
        <is>
          <t>/</t>
        </is>
      </c>
      <c r="G56" s="183" t="n">
        <v>1</v>
      </c>
      <c r="H56" s="183" t="n">
        <v>1</v>
      </c>
      <c r="I56" s="213">
        <f>IF(C56="不适用","N/A",IF(D56&lt;&gt;"√",0,IF((E56="√")*AND(F56="√"),1,IF((E56&lt;&gt;"√")*AND(F56="√"),0.5*G56,IF((E56="√")*AND(F56&lt;&gt;"√"),0.5*H56,IF((E56&lt;&gt;"√")*AND(F56&lt;&gt;"√"),0.25*G56*H56))))))</f>
        <v/>
      </c>
      <c r="J56" s="213">
        <f>IF(I56="N/A","不适用",IF(I56=1,"符合",IF(I56=0,"不符合","部分符合")))</f>
        <v/>
      </c>
      <c r="K56" s="280" t="n"/>
      <c r="L56" s="280" t="n"/>
      <c r="M56" s="280" t="n"/>
      <c r="N56" s="191">
        <f>IF(I56="N/A","N/A",整体测评!O$16/M$50)</f>
        <v/>
      </c>
      <c r="O56" s="192">
        <f>IF(I56="N/A","N/A",I56*N56)</f>
        <v/>
      </c>
      <c r="P56" s="192">
        <f>IF(I56="N/A","N/A",N56-O56)</f>
        <v/>
      </c>
    </row>
    <row r="57" ht="27.9" customHeight="1">
      <c r="A57" s="280" t="n"/>
      <c r="B57" s="188" t="inlineStr">
        <is>
          <t>SOM安全运维管理平台</t>
        </is>
      </c>
      <c r="C57" s="176" t="inlineStr">
        <is>
          <t>适用</t>
        </is>
      </c>
      <c r="D57" s="183" t="inlineStr">
        <is>
          <t>×</t>
        </is>
      </c>
      <c r="E57" s="183" t="inlineStr">
        <is>
          <t>/</t>
        </is>
      </c>
      <c r="F57" s="183" t="inlineStr">
        <is>
          <t>/</t>
        </is>
      </c>
      <c r="G57" s="183" t="n">
        <v>1</v>
      </c>
      <c r="H57" s="183" t="n">
        <v>1</v>
      </c>
      <c r="I57" s="213">
        <f>IF(C57="不适用","N/A",IF(D57&lt;&gt;"√",0,IF((E57="√")*AND(F57="√"),1,IF((E57&lt;&gt;"√")*AND(F57="√"),0.5*G57,IF((E57="√")*AND(F57&lt;&gt;"√"),0.5*H57,IF((E57&lt;&gt;"√")*AND(F57&lt;&gt;"√"),0.25*G57*H57))))))</f>
        <v/>
      </c>
      <c r="J57" s="213">
        <f>IF(I57="N/A","不适用",IF(I57=1,"符合",IF(I57=0,"不符合","部分符合")))</f>
        <v/>
      </c>
      <c r="K57" s="280" t="n"/>
      <c r="L57" s="280" t="n"/>
      <c r="M57" s="280" t="n"/>
      <c r="N57" s="191">
        <f>IF(I57="N/A","N/A",整体测评!O$16/M$50)</f>
        <v/>
      </c>
      <c r="O57" s="192">
        <f>IF(I57="N/A","N/A",I57*N57)</f>
        <v/>
      </c>
      <c r="P57" s="192">
        <f>IF(I57="N/A","N/A",N57-O57)</f>
        <v/>
      </c>
    </row>
    <row r="58" ht="14.6" customHeight="1">
      <c r="A58" s="278" t="n"/>
      <c r="B58" s="193" t="inlineStr">
        <is>
          <t>勿删</t>
        </is>
      </c>
      <c r="C58" s="182" t="inlineStr">
        <is>
          <t>不适用</t>
        </is>
      </c>
      <c r="D58" s="183" t="n"/>
      <c r="E58" s="183" t="n"/>
      <c r="F58" s="183" t="n"/>
      <c r="G58" s="183" t="n">
        <v>1</v>
      </c>
      <c r="H58" s="183" t="n">
        <v>1</v>
      </c>
      <c r="I58" s="213">
        <f>IF(C58="不适用","N/A",IF(D58&lt;&gt;"√",0,IF((E58="√")*AND(F58="√"),1,IF((E58&lt;&gt;"√")*AND(F58="√"),0.5*G58,IF((E58="√")*AND(F58&lt;&gt;"√"),0.5*H58,IF((E58&lt;&gt;"√")*AND(F58&lt;&gt;"√"),0.25*G58*H58))))))</f>
        <v/>
      </c>
      <c r="J58" s="213">
        <f>IF(I58="N/A","不适用",IF(I58=1,"符合",IF(I58=0,"不符合","部分符合")))</f>
        <v/>
      </c>
      <c r="K58" s="278" t="n"/>
      <c r="L58" s="278" t="n"/>
      <c r="M58" s="278" t="n"/>
      <c r="N58" s="191">
        <f>IF(I58="N/A","N/A",整体测评!O$16/M$50)</f>
        <v/>
      </c>
      <c r="O58" s="192">
        <f>IF(I58="N/A","N/A",I58*N58)</f>
        <v/>
      </c>
      <c r="P58" s="192">
        <f>IF(I58="N/A","N/A",N58-O58)</f>
        <v/>
      </c>
    </row>
  </sheetData>
  <mergeCells count="37">
    <mergeCell ref="K32:K40"/>
    <mergeCell ref="L5:L13"/>
    <mergeCell ref="L14:L22"/>
    <mergeCell ref="L3:L4"/>
    <mergeCell ref="B3:B4"/>
    <mergeCell ref="A50:A58"/>
    <mergeCell ref="N3:N4"/>
    <mergeCell ref="A41:A49"/>
    <mergeCell ref="K50:K58"/>
    <mergeCell ref="L23:L31"/>
    <mergeCell ref="A32:A40"/>
    <mergeCell ref="A14:A22"/>
    <mergeCell ref="A5:A13"/>
    <mergeCell ref="K14:K22"/>
    <mergeCell ref="K23:K31"/>
    <mergeCell ref="A3:A4"/>
    <mergeCell ref="M3:M4"/>
    <mergeCell ref="A1:L2"/>
    <mergeCell ref="I3:I4"/>
    <mergeCell ref="L41:L49"/>
    <mergeCell ref="A23:A31"/>
    <mergeCell ref="L50:L58"/>
    <mergeCell ref="M32:M40"/>
    <mergeCell ref="M14:M22"/>
    <mergeCell ref="P3:P4"/>
    <mergeCell ref="M41:M49"/>
    <mergeCell ref="M23:M31"/>
    <mergeCell ref="J3:J4"/>
    <mergeCell ref="M50:M58"/>
    <mergeCell ref="D3:H3"/>
    <mergeCell ref="K5:K13"/>
    <mergeCell ref="M5:M13"/>
    <mergeCell ref="K3:K4"/>
    <mergeCell ref="C3:C4"/>
    <mergeCell ref="O3:O4"/>
    <mergeCell ref="L32:L40"/>
    <mergeCell ref="K41:K49"/>
  </mergeCells>
  <dataValidations count="4">
    <dataValidation sqref="H5:H58" showDropDown="0" showInputMessage="1" showErrorMessage="1" allowBlank="1" type="list">
      <formula1>"1.2,1"</formula1>
    </dataValidation>
    <dataValidation sqref="C5:C58" showDropDown="0" showInputMessage="1" showErrorMessage="1" allowBlank="1" type="list">
      <formula1>"适用,不适用"</formula1>
    </dataValidation>
    <dataValidation sqref="G5:G58" showDropDown="0" showInputMessage="1" showErrorMessage="1" allowBlank="1" type="list">
      <formula1>"0.2,0.5,1"</formula1>
    </dataValidation>
    <dataValidation sqref="D5:F58" showDropDown="0" showInputMessage="1" showErrorMessage="1" allowBlank="1" type="list">
      <formula1>"√,×,/"</formula1>
    </dataValidation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1"/>
  <sheetViews>
    <sheetView topLeftCell="A95" zoomScaleNormal="100" workbookViewId="0">
      <selection activeCell="D110" sqref="D110:F110"/>
    </sheetView>
  </sheetViews>
  <sheetFormatPr baseColWidth="8" defaultColWidth="9.0703125" defaultRowHeight="14.15"/>
  <cols>
    <col width="23.5" customWidth="1" style="13" min="1" max="1"/>
    <col width="39.85546875" customWidth="1" style="13" min="2" max="2"/>
    <col width="10.7109375" customWidth="1" style="13" min="3" max="3"/>
    <col width="10.5" customWidth="1" style="13" min="4" max="4"/>
    <col width="12.5" customWidth="1" style="13" min="5" max="5"/>
    <col width="11.5" customWidth="1" style="13" min="6" max="8"/>
    <col width="12" customWidth="1" style="13" min="9" max="9"/>
    <col width="12.2109375" customWidth="1" style="13" min="10" max="10"/>
    <col width="12.35546875" customWidth="1" style="13" min="11" max="11"/>
    <col width="12.0703125" customWidth="1" style="13" min="12" max="12"/>
    <col width="9.0703125" customWidth="1" style="13" min="13" max="16384"/>
  </cols>
  <sheetData>
    <row r="1" ht="18.9" customHeight="1">
      <c r="A1" s="215" t="inlineStr">
        <is>
          <t>应用和数据安全</t>
        </is>
      </c>
      <c r="B1" s="271" t="n"/>
      <c r="C1" s="271" t="n"/>
      <c r="D1" s="271" t="n"/>
      <c r="E1" s="271" t="n"/>
      <c r="F1" s="271" t="n"/>
      <c r="G1" s="271" t="n"/>
      <c r="H1" s="271" t="n"/>
      <c r="I1" s="271" t="n"/>
      <c r="J1" s="271" t="n"/>
      <c r="K1" s="271" t="n"/>
      <c r="L1" s="272" t="n"/>
      <c r="M1" s="190" t="n"/>
      <c r="N1" s="190" t="n"/>
      <c r="O1" s="190" t="n"/>
      <c r="P1" s="190" t="n"/>
    </row>
    <row r="2" ht="16.3" customHeigh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5" t="n"/>
      <c r="M2" s="190" t="n"/>
      <c r="N2" s="190" t="n"/>
      <c r="O2" s="190" t="n"/>
      <c r="P2" s="190" t="n"/>
    </row>
    <row r="3" ht="15.9" customHeight="1">
      <c r="A3" s="165" t="inlineStr">
        <is>
          <t>测评单元</t>
        </is>
      </c>
      <c r="B3" s="165" t="inlineStr">
        <is>
          <t>测评对象</t>
        </is>
      </c>
      <c r="C3" s="165" t="inlineStr">
        <is>
          <t>适用情况</t>
        </is>
      </c>
      <c r="D3" s="165" t="inlineStr">
        <is>
          <t>涉及情况</t>
        </is>
      </c>
      <c r="E3" s="276" t="n"/>
      <c r="F3" s="276" t="n"/>
      <c r="G3" s="276" t="n"/>
      <c r="H3" s="277" t="n"/>
      <c r="I3" s="216" t="inlineStr">
        <is>
          <t>分值
Si,j,k</t>
        </is>
      </c>
      <c r="J3" s="216" t="inlineStr">
        <is>
          <t>符合情况</t>
        </is>
      </c>
      <c r="K3" s="216" t="inlineStr">
        <is>
          <t>测评单元得分
S i, j</t>
        </is>
      </c>
      <c r="L3" s="216" t="inlineStr">
        <is>
          <t>单元测评结果</t>
        </is>
      </c>
      <c r="M3" s="165" t="inlineStr">
        <is>
          <t>有效对象数量</t>
        </is>
      </c>
      <c r="N3" s="165" t="inlineStr">
        <is>
          <t>所占分值</t>
        </is>
      </c>
      <c r="O3" s="165" t="inlineStr">
        <is>
          <t>已得分值</t>
        </is>
      </c>
      <c r="P3" s="165" t="inlineStr">
        <is>
          <t>丢失分值</t>
        </is>
      </c>
    </row>
    <row r="4" ht="32.15" customHeight="1">
      <c r="A4" s="278" t="n"/>
      <c r="B4" s="278" t="n"/>
      <c r="C4" s="278" t="n"/>
      <c r="D4" s="166" t="inlineStr">
        <is>
          <t>密码使用有效性D</t>
        </is>
      </c>
      <c r="E4" s="166" t="inlineStr">
        <is>
          <t>密码算法/技术合规性A</t>
        </is>
      </c>
      <c r="F4" s="166" t="inlineStr">
        <is>
          <t>密钥管理安全K</t>
        </is>
      </c>
      <c r="G4" s="166" t="inlineStr">
        <is>
          <t>Ra</t>
        </is>
      </c>
      <c r="H4" s="166" t="inlineStr">
        <is>
          <t>Rk</t>
        </is>
      </c>
      <c r="I4" s="229" t="n"/>
      <c r="J4" s="229" t="n"/>
      <c r="K4" s="229" t="n"/>
      <c r="L4" s="229" t="n"/>
      <c r="M4" s="278" t="n"/>
      <c r="N4" s="278" t="n"/>
      <c r="O4" s="278" t="n"/>
      <c r="P4" s="278" t="n"/>
    </row>
    <row r="5" ht="60.65" customHeight="1">
      <c r="A5" s="215" t="inlineStr">
        <is>
          <t>身份鉴别</t>
        </is>
      </c>
      <c r="B5" s="206" t="inlineStr">
        <is>
          <t>现金管理系统PC端用户</t>
        </is>
      </c>
      <c r="C5" s="169" t="inlineStr">
        <is>
          <t>适用</t>
        </is>
      </c>
      <c r="D5" s="169" t="inlineStr">
        <is>
          <t>×</t>
        </is>
      </c>
      <c r="E5" s="169" t="inlineStr">
        <is>
          <t>/</t>
        </is>
      </c>
      <c r="F5" s="169" t="inlineStr">
        <is>
          <t>/</t>
        </is>
      </c>
      <c r="G5" s="169" t="n">
        <v>1</v>
      </c>
      <c r="H5" s="169" t="n">
        <v>1</v>
      </c>
      <c r="I5" s="189">
        <f>IF(C5="不适用","N/A",IF(D5&lt;&gt;"√",0,IF((E5="√")*AND(F5="√"),1,IF((E5&lt;&gt;"√")*AND(F5="√"),0.5*G5,IF((E5="√")*AND(F5&lt;&gt;"√"),0.5*H5,IF((E5&lt;&gt;"√")*AND(F5&lt;&gt;"√"),0.25*G5*H5))))))</f>
        <v/>
      </c>
      <c r="J5" s="189">
        <f>IF(I5="N/A","不适用",IF(I5=1,"符合",IF(I5=0,"不符合","部分符合")))</f>
        <v/>
      </c>
      <c r="K5" s="283">
        <f>IF(COUNTIF($I5:$I10,"N/A")=COUNTA($I5:$I10),"N/A",AVERAGE($I5:$I10))</f>
        <v/>
      </c>
      <c r="L5" s="218">
        <f>IF(K5="N/A","不适用",IF(K5=1,"符合",IF(K5=0,"不符合","部分符合")))</f>
        <v/>
      </c>
      <c r="M5" s="189">
        <f>(COUNTA($C5:$C10)-COUNTIF($C5:$C10,"不适用"))</f>
        <v/>
      </c>
      <c r="N5" s="219">
        <f>IF(I5="N/A","N/A",整体测评!O$17/M$5)</f>
        <v/>
      </c>
      <c r="O5" s="219">
        <f>IF(I5="N/A","N/A",I5*N5)</f>
        <v/>
      </c>
      <c r="P5" s="219">
        <f>IF(I5="N/A","N/A",N5-O5)</f>
        <v/>
      </c>
    </row>
    <row r="6" ht="60.65" customHeight="1">
      <c r="A6" s="280" t="n"/>
      <c r="B6" s="206" t="inlineStr">
        <is>
          <t>外部数据管理系统用户</t>
        </is>
      </c>
      <c r="C6" s="169" t="inlineStr">
        <is>
          <t>适用</t>
        </is>
      </c>
      <c r="D6" s="169" t="inlineStr">
        <is>
          <t>×</t>
        </is>
      </c>
      <c r="E6" s="169" t="inlineStr">
        <is>
          <t>/</t>
        </is>
      </c>
      <c r="F6" s="169" t="inlineStr">
        <is>
          <t>/</t>
        </is>
      </c>
      <c r="G6" s="169" t="n">
        <v>1</v>
      </c>
      <c r="H6" s="169" t="n">
        <v>1</v>
      </c>
      <c r="I6" s="189">
        <f>IF(C6="不适用","N/A",IF(D6&lt;&gt;"√",0,IF((E6="√")*AND(F6="√"),1,IF((E6&lt;&gt;"√")*AND(F6="√"),0.5*G6,IF((E6="√")*AND(F6&lt;&gt;"√"),0.5*H6,IF((E6&lt;&gt;"√")*AND(F6&lt;&gt;"√"),0.25*G6*H6))))))</f>
        <v/>
      </c>
      <c r="J6" s="189">
        <f>IF(I6="N/A","不适用",IF(I6=1,"符合",IF(I6=0,"不符合","部分符合")))</f>
        <v/>
      </c>
      <c r="K6" s="235" t="n"/>
      <c r="L6" s="235" t="n"/>
      <c r="M6" s="235" t="n"/>
      <c r="N6" s="219">
        <f>IF(I6="N/A","N/A",整体测评!O$17/M$5)</f>
        <v/>
      </c>
      <c r="O6" s="219">
        <f>IF(I6="N/A","N/A",I6*N6)</f>
        <v/>
      </c>
      <c r="P6" s="219">
        <f>IF(I6="N/A","N/A",N6-O6)</f>
        <v/>
      </c>
    </row>
    <row r="7" ht="60.65" customHeight="1">
      <c r="A7" s="280" t="n"/>
      <c r="B7" s="206" t="inlineStr">
        <is>
          <t>穿山甲平台用户</t>
        </is>
      </c>
      <c r="C7" s="169" t="inlineStr">
        <is>
          <t>适用</t>
        </is>
      </c>
      <c r="D7" s="169" t="inlineStr">
        <is>
          <t>×</t>
        </is>
      </c>
      <c r="E7" s="169" t="inlineStr">
        <is>
          <t>/</t>
        </is>
      </c>
      <c r="F7" s="169" t="inlineStr">
        <is>
          <t>/</t>
        </is>
      </c>
      <c r="G7" s="169" t="n">
        <v>1</v>
      </c>
      <c r="H7" s="169" t="n">
        <v>1</v>
      </c>
      <c r="I7" s="189">
        <f>IF(C7="不适用","N/A",IF(D7&lt;&gt;"√",0,IF((E7="√")*AND(F7="√"),1,IF((E7&lt;&gt;"√")*AND(F7="√"),0.5*G7,IF((E7="√")*AND(F7&lt;&gt;"√"),0.5*H7,IF((E7&lt;&gt;"√")*AND(F7&lt;&gt;"√"),0.25*G7*H7))))))</f>
        <v/>
      </c>
      <c r="J7" s="189">
        <f>IF(I7="N/A","不适用",IF(I7=1,"符合",IF(I7=0,"不符合","部分符合")))</f>
        <v/>
      </c>
      <c r="K7" s="235" t="n"/>
      <c r="L7" s="235" t="n"/>
      <c r="M7" s="235" t="n"/>
      <c r="N7" s="219">
        <f>IF(I7="N/A","N/A",整体测评!O$17/M$5)</f>
        <v/>
      </c>
      <c r="O7" s="219">
        <f>IF(I7="N/A","N/A",I7*N7)</f>
        <v/>
      </c>
      <c r="P7" s="219">
        <f>IF(I7="N/A","N/A",N7-O7)</f>
        <v/>
      </c>
    </row>
    <row r="8" ht="60.65" customHeight="1">
      <c r="A8" s="280" t="n"/>
      <c r="B8" s="206" t="inlineStr">
        <is>
          <t>员工渠道系统用户</t>
        </is>
      </c>
      <c r="C8" s="169" t="inlineStr">
        <is>
          <t>适用</t>
        </is>
      </c>
      <c r="D8" s="169" t="inlineStr">
        <is>
          <t>×</t>
        </is>
      </c>
      <c r="E8" s="169" t="inlineStr">
        <is>
          <t>/</t>
        </is>
      </c>
      <c r="F8" s="169" t="inlineStr">
        <is>
          <t>/</t>
        </is>
      </c>
      <c r="G8" s="169" t="n">
        <v>1</v>
      </c>
      <c r="H8" s="169" t="n">
        <v>1</v>
      </c>
      <c r="I8" s="189">
        <f>IF(C8="不适用","N/A",IF(D8&lt;&gt;"√",0,IF((E8="√")*AND(F8="√"),1,IF((E8&lt;&gt;"√")*AND(F8="√"),0.5*G8,IF((E8="√")*AND(F8&lt;&gt;"√"),0.5*H8,IF((E8&lt;&gt;"√")*AND(F8&lt;&gt;"√"),0.25*G8*H8))))))</f>
        <v/>
      </c>
      <c r="J8" s="189">
        <f>IF(I8="N/A","不适用",IF(I8=1,"符合",IF(I8=0,"不符合","部分符合")))</f>
        <v/>
      </c>
      <c r="K8" s="235" t="n"/>
      <c r="L8" s="235" t="n"/>
      <c r="M8" s="235" t="n"/>
      <c r="N8" s="219">
        <f>IF(I8="N/A","N/A",整体测评!O$17/M$5)</f>
        <v/>
      </c>
      <c r="O8" s="219">
        <f>IF(I8="N/A","N/A",I8*N8)</f>
        <v/>
      </c>
      <c r="P8" s="219">
        <f>IF(I8="N/A","N/A",N8-O8)</f>
        <v/>
      </c>
    </row>
    <row r="9" ht="60.65" customHeight="1">
      <c r="A9" s="280" t="n"/>
      <c r="B9" s="206" t="inlineStr">
        <is>
          <t>分行智能管理系统客户端用户</t>
        </is>
      </c>
      <c r="C9" s="169" t="inlineStr">
        <is>
          <t>适用</t>
        </is>
      </c>
      <c r="D9" s="169" t="inlineStr">
        <is>
          <t>×</t>
        </is>
      </c>
      <c r="E9" s="169" t="inlineStr">
        <is>
          <t>/</t>
        </is>
      </c>
      <c r="F9" s="169" t="inlineStr">
        <is>
          <t>/</t>
        </is>
      </c>
      <c r="G9" s="169" t="n">
        <v>1</v>
      </c>
      <c r="H9" s="169" t="n">
        <v>1</v>
      </c>
      <c r="I9" s="189">
        <f>IF(C9="不适用","N/A",IF(D9&lt;&gt;"√",0,IF((E9="√")*AND(F9="√"),1,IF((E9&lt;&gt;"√")*AND(F9="√"),0.5*G9,IF((E9="√")*AND(F9&lt;&gt;"√"),0.5*H9,IF((E9&lt;&gt;"√")*AND(F9&lt;&gt;"√"),0.25*G9*H9))))))</f>
        <v/>
      </c>
      <c r="J9" s="189">
        <f>IF(I9="N/A","不适用",IF(I9=1,"符合",IF(I9=0,"不符合","部分符合")))</f>
        <v/>
      </c>
      <c r="K9" s="235" t="n"/>
      <c r="L9" s="235" t="n"/>
      <c r="M9" s="235" t="n"/>
      <c r="N9" s="219">
        <f>IF(I9="N/A","N/A",整体测评!O$17/M$5)</f>
        <v/>
      </c>
      <c r="O9" s="219">
        <f>IF(I9="N/A","N/A",I9*N9)</f>
        <v/>
      </c>
      <c r="P9" s="219">
        <f>IF(I9="N/A","N/A",N9-O9)</f>
        <v/>
      </c>
    </row>
    <row r="10" ht="50.15" customHeight="1">
      <c r="A10" s="278" t="n"/>
      <c r="B10" s="167" t="inlineStr">
        <is>
          <t>勿删</t>
        </is>
      </c>
      <c r="C10" s="168" t="inlineStr">
        <is>
          <t>不适用</t>
        </is>
      </c>
      <c r="D10" s="169" t="inlineStr">
        <is>
          <t>×</t>
        </is>
      </c>
      <c r="E10" s="169" t="n"/>
      <c r="F10" s="169" t="n"/>
      <c r="G10" s="169" t="n">
        <v>1</v>
      </c>
      <c r="H10" s="169" t="n">
        <v>1</v>
      </c>
      <c r="I10" s="189">
        <f>IF(C10="不适用","N/A",IF(D10&lt;&gt;"√",0,IF((E10="√")*AND(F10="√"),1,IF((E10&lt;&gt;"√")*AND(F10="√"),0.5*G10,IF((E10="√")*AND(F10&lt;&gt;"√"),0.5*H10,IF((E10&lt;&gt;"√")*AND(F10&lt;&gt;"√"),0.25*G10*H10))))))</f>
        <v/>
      </c>
      <c r="J10" s="189">
        <f>IF(I10="N/A","不适用",IF(I10=1,"符合",IF(I10=0,"不符合","部分符合")))</f>
        <v/>
      </c>
      <c r="K10" s="229" t="n"/>
      <c r="L10" s="229" t="n"/>
      <c r="M10" s="229" t="n"/>
      <c r="N10" s="219">
        <f>IF(I10="N/A","N/A",整体测评!O$17/M$5)</f>
        <v/>
      </c>
      <c r="O10" s="219">
        <f>IF(I10="N/A","N/A",I10*N10)</f>
        <v/>
      </c>
      <c r="P10" s="219">
        <f>IF(I10="N/A","N/A",N10-O10)</f>
        <v/>
      </c>
    </row>
    <row r="11" ht="27.45" customHeight="1">
      <c r="A11" s="222" t="inlineStr">
        <is>
          <t>访问控制信息完整性</t>
        </is>
      </c>
      <c r="B11" s="206" t="inlineStr">
        <is>
          <t>中国建设银行宁夏区分行特色系统</t>
        </is>
      </c>
      <c r="C11" s="169" t="inlineStr">
        <is>
          <t>适用</t>
        </is>
      </c>
      <c r="D11" s="169" t="inlineStr">
        <is>
          <t>×</t>
        </is>
      </c>
      <c r="E11" s="169" t="inlineStr">
        <is>
          <t>/</t>
        </is>
      </c>
      <c r="F11" s="169" t="inlineStr">
        <is>
          <t>/</t>
        </is>
      </c>
      <c r="G11" s="169" t="n">
        <v>1</v>
      </c>
      <c r="H11" s="169" t="n">
        <v>1</v>
      </c>
      <c r="I11" s="189">
        <f>IF(C11="不适用","N/A",IF(D11&lt;&gt;"√",0,IF((E11="√")*AND(F11="√"),1,IF((E11&lt;&gt;"√")*AND(F11="√"),0.5*G11,IF((E11="√")*AND(F11&lt;&gt;"√"),0.5*H11,IF((E11&lt;&gt;"√")*AND(F11&lt;&gt;"√"),0.25*G11*H11))))))</f>
        <v/>
      </c>
      <c r="J11" s="189">
        <f>IF(I11="N/A","不适用",IF(I11=1,"符合",IF(I11=0,"不符合","部分符合")))</f>
        <v/>
      </c>
      <c r="K11" s="283">
        <f>IF(COUNTIF($I11:$I12,"N/A")=COUNTA($I11:$I12),"N/A",AVERAGE($I11:$I12))</f>
        <v/>
      </c>
      <c r="L11" s="218">
        <f>IF(K11="N/A","不适用",IF(K11=1,"符合",IF(K11=0,"不符合","部分符合")))</f>
        <v/>
      </c>
      <c r="M11" s="189">
        <f>(COUNTA($C11:$C12)-COUNTIF($C11:$C12,"不适用"))</f>
        <v/>
      </c>
      <c r="N11" s="219">
        <f>IF(I11="N/A","N/A",整体测评!O$18/M$11)</f>
        <v/>
      </c>
      <c r="O11" s="219">
        <f>IF(I11="N/A","N/A",I11*N11)</f>
        <v/>
      </c>
      <c r="P11" s="219">
        <f>IF(I11="N/A","N/A",N11-O11)</f>
        <v/>
      </c>
    </row>
    <row r="12" ht="26.15" customHeight="1">
      <c r="A12" s="278" t="n"/>
      <c r="B12" s="167" t="inlineStr">
        <is>
          <t>勿删</t>
        </is>
      </c>
      <c r="C12" s="168" t="inlineStr">
        <is>
          <t>不适用</t>
        </is>
      </c>
      <c r="D12" s="169" t="inlineStr">
        <is>
          <t>√</t>
        </is>
      </c>
      <c r="E12" s="169" t="inlineStr">
        <is>
          <t>√</t>
        </is>
      </c>
      <c r="F12" s="169" t="inlineStr">
        <is>
          <t>√</t>
        </is>
      </c>
      <c r="G12" s="169" t="n">
        <v>1</v>
      </c>
      <c r="H12" s="169" t="n">
        <v>1</v>
      </c>
      <c r="I12" s="189">
        <f>IF(C12="不适用","N/A",IF(D12&lt;&gt;"√",0,IF((E12="√")*AND(F12="√"),1,IF((E12&lt;&gt;"√")*AND(F12="√"),0.5*G12,IF((E12="√")*AND(F12&lt;&gt;"√"),0.5*H12,IF((E12&lt;&gt;"√")*AND(F12&lt;&gt;"√"),0.25*G12*H12))))))</f>
        <v/>
      </c>
      <c r="J12" s="189">
        <f>IF(I12="N/A","不适用",IF(I12=1,"符合",IF(I12=0,"不符合","部分符合")))</f>
        <v/>
      </c>
      <c r="K12" s="229" t="n"/>
      <c r="L12" s="229" t="n"/>
      <c r="M12" s="229" t="n"/>
      <c r="N12" s="219">
        <f>IF(I12="N/A","N/A",整体测评!O$18/M$11)</f>
        <v/>
      </c>
      <c r="O12" s="219">
        <f>IF(I12="N/A","N/A",I12*N12)</f>
        <v/>
      </c>
      <c r="P12" s="219">
        <f>IF(I12="N/A","N/A",N12-O12)</f>
        <v/>
      </c>
    </row>
    <row r="13" ht="33" customHeight="1">
      <c r="A13" s="220" t="inlineStr">
        <is>
          <t>重要信息资源安全标记完整性</t>
        </is>
      </c>
      <c r="B13" s="206" t="inlineStr">
        <is>
          <t>中国建设银行宁夏区分行特色系统</t>
        </is>
      </c>
      <c r="C13" s="169" t="inlineStr">
        <is>
          <t>不适用</t>
        </is>
      </c>
      <c r="D13" s="169" t="inlineStr">
        <is>
          <t>/</t>
        </is>
      </c>
      <c r="E13" s="169" t="inlineStr">
        <is>
          <t>/</t>
        </is>
      </c>
      <c r="F13" s="169" t="inlineStr">
        <is>
          <t>/</t>
        </is>
      </c>
      <c r="G13" s="169" t="n">
        <v>1</v>
      </c>
      <c r="H13" s="169" t="n">
        <v>1</v>
      </c>
      <c r="I13" s="189">
        <f>IF(C13="不适用","N/A",IF(D13&lt;&gt;"√",0,IF((E13="√")*AND(F13="√"),1,IF((E13&lt;&gt;"√")*AND(F13="√"),0.5*G13,IF((E13="√")*AND(F13&lt;&gt;"√"),0.5*H13,IF((E13&lt;&gt;"√")*AND(F13&lt;&gt;"√"),0.25*G13*H13))))))</f>
        <v/>
      </c>
      <c r="J13" s="189">
        <f>IF(I13="N/A","不适用",IF(I13=1,"符合",IF(I13=0,"不符合","部分符合")))</f>
        <v/>
      </c>
      <c r="K13" s="283">
        <f>IF(COUNTIF($I13:$I14,"N/A")=COUNTA($I13:$I14),"N/A",AVERAGE($I13:$I14))</f>
        <v/>
      </c>
      <c r="L13" s="218">
        <f>IF(K13="N/A","不适用",IF(K13=1,"符合",IF(K13=0,"不符合","部分符合")))</f>
        <v/>
      </c>
      <c r="M13" s="189">
        <f>(COUNTA($C13:$C14)-COUNTIF($C13:$C14,"不适用"))</f>
        <v/>
      </c>
      <c r="N13" s="219">
        <f>IF(I13="N/A","N/A",整体测评!O$19/M$13)</f>
        <v/>
      </c>
      <c r="O13" s="219">
        <f>IF(I13="N/A","N/A",I13*N13)</f>
        <v/>
      </c>
      <c r="P13" s="219">
        <f>IF(I13="N/A","N/A",N13-O13)</f>
        <v/>
      </c>
    </row>
    <row r="14" ht="22.3" customHeight="1">
      <c r="A14" s="278" t="n"/>
      <c r="B14" s="167" t="inlineStr">
        <is>
          <t>勿删</t>
        </is>
      </c>
      <c r="C14" s="168" t="inlineStr">
        <is>
          <t>不适用</t>
        </is>
      </c>
      <c r="D14" s="169" t="n"/>
      <c r="E14" s="169" t="n"/>
      <c r="F14" s="169" t="n"/>
      <c r="G14" s="169" t="n">
        <v>1</v>
      </c>
      <c r="H14" s="169" t="n">
        <v>1</v>
      </c>
      <c r="I14" s="189">
        <f>IF(C14="不适用","N/A",IF(D14&lt;&gt;"√",0,IF((E14="√")*AND(F14="√"),1,IF((E14&lt;&gt;"√")*AND(F14="√"),0.5*G14,IF((E14="√")*AND(F14&lt;&gt;"√"),0.5*H14,IF((E14&lt;&gt;"√")*AND(F14&lt;&gt;"√"),0.25*G14*H14))))))</f>
        <v/>
      </c>
      <c r="J14" s="189">
        <f>IF(I14="N/A","不适用",IF(I14=1,"符合",IF(I14=0,"不符合","部分符合")))</f>
        <v/>
      </c>
      <c r="K14" s="229" t="n"/>
      <c r="L14" s="229" t="n"/>
      <c r="M14" s="229" t="n"/>
      <c r="N14" s="219">
        <f>IF(I14="N/A","N/A",整体测评!O$19/M$13)</f>
        <v/>
      </c>
      <c r="O14" s="219">
        <f>IF(I14="N/A","N/A",I14*N14)</f>
        <v/>
      </c>
      <c r="P14" s="219">
        <f>IF(I14="N/A","N/A",N14-O14)</f>
        <v/>
      </c>
    </row>
    <row r="15" ht="33" customHeight="1">
      <c r="A15" s="220" t="inlineStr">
        <is>
          <t>重要数据传输机密性</t>
        </is>
      </c>
      <c r="B15" s="75" t="inlineStr">
        <is>
          <t>外部数据管理系统鉴别数据</t>
        </is>
      </c>
      <c r="C15" s="169" t="inlineStr">
        <is>
          <t>适用</t>
        </is>
      </c>
      <c r="D15" s="169" t="inlineStr">
        <is>
          <t>×</t>
        </is>
      </c>
      <c r="E15" s="169" t="inlineStr">
        <is>
          <t>/</t>
        </is>
      </c>
      <c r="F15" s="169" t="inlineStr">
        <is>
          <t>/</t>
        </is>
      </c>
      <c r="G15" s="169" t="n">
        <v>1</v>
      </c>
      <c r="H15" s="169" t="n">
        <v>1</v>
      </c>
      <c r="I15" s="189">
        <f>IF(C15="不适用","N/A",IF(D15&lt;&gt;"√",0,IF((E15="√")*AND(F15="√"),1,IF((E15&lt;&gt;"√")*AND(F15="√"),0.5*G15,IF((E15="√")*AND(F15&lt;&gt;"√"),0.5*H15,IF((E15&lt;&gt;"√")*AND(F15&lt;&gt;"√"),0.25*G15*H15))))))</f>
        <v/>
      </c>
      <c r="J15" s="189">
        <f>IF(I15="N/A","不适用",IF(I15=1,"符合",IF(I15=0,"不符合","部分符合")))</f>
        <v/>
      </c>
      <c r="K15" s="283">
        <f>IF(COUNTIF($I15:$I43,"N/A")=COUNTA($I15:$I43),"N/A",AVERAGE($I15:$I43))</f>
        <v/>
      </c>
      <c r="L15" s="218">
        <f>IF(K15="N/A","不适用",IF(K15=1,"符合",IF(K15=0,"不符合","部分符合")))</f>
        <v/>
      </c>
      <c r="M15" s="189">
        <f>(COUNTA($C15:$C43)-COUNTIF($C15:$C43,"不适用"))</f>
        <v/>
      </c>
      <c r="N15" s="219">
        <f>IF(I15="N/A","N/A",整体测评!O$20/M$15)</f>
        <v/>
      </c>
      <c r="O15" s="219">
        <f>IF(I15="N/A","N/A",I15*N15)</f>
        <v/>
      </c>
      <c r="P15" s="219">
        <f>IF(I15="N/A","N/A",N15-O15)</f>
        <v/>
      </c>
    </row>
    <row r="16" ht="33" customHeight="1">
      <c r="A16" s="280" t="n"/>
      <c r="B16" s="75" t="inlineStr">
        <is>
          <t>外部数据管理系统业务数据</t>
        </is>
      </c>
      <c r="C16" s="169" t="inlineStr">
        <is>
          <t>适用</t>
        </is>
      </c>
      <c r="D16" s="169" t="inlineStr">
        <is>
          <t>√</t>
        </is>
      </c>
      <c r="E16" s="169" t="inlineStr">
        <is>
          <t>√</t>
        </is>
      </c>
      <c r="F16" s="169" t="inlineStr">
        <is>
          <t>×</t>
        </is>
      </c>
      <c r="G16" s="169" t="n">
        <v>1</v>
      </c>
      <c r="H16" s="169" t="n">
        <v>1</v>
      </c>
      <c r="I16" s="189">
        <f>IF(C16="不适用","N/A",IF(D16&lt;&gt;"√",0,IF((E16="√")*AND(F16="√"),1,IF((E16&lt;&gt;"√")*AND(F16="√"),0.5*G16,IF((E16="√")*AND(F16&lt;&gt;"√"),0.5*H16,IF((E16&lt;&gt;"√")*AND(F16&lt;&gt;"√"),0.25*G16*H16))))))</f>
        <v/>
      </c>
      <c r="J16" s="189">
        <f>IF(I16="N/A","不适用",IF(I16=1,"符合",IF(I16=0,"不符合","部分符合")))</f>
        <v/>
      </c>
      <c r="K16" s="235" t="n"/>
      <c r="L16" s="235" t="n"/>
      <c r="M16" s="235" t="n"/>
      <c r="N16" s="219">
        <f>IF(I16="N/A","N/A",整体测评!O$20/M$15)</f>
        <v/>
      </c>
      <c r="O16" s="219">
        <f>IF(I16="N/A","N/A",I16*N16)</f>
        <v/>
      </c>
      <c r="P16" s="219">
        <f>IF(I16="N/A","N/A",N16-O16)</f>
        <v/>
      </c>
    </row>
    <row r="17" ht="33" customHeight="1">
      <c r="A17" s="280" t="n"/>
      <c r="B17" s="75" t="inlineStr">
        <is>
          <t>智慧社保系统业务数据</t>
        </is>
      </c>
      <c r="C17" s="169" t="inlineStr">
        <is>
          <t>适用</t>
        </is>
      </c>
      <c r="D17" s="169" t="inlineStr">
        <is>
          <t>√</t>
        </is>
      </c>
      <c r="E17" s="169" t="inlineStr">
        <is>
          <t>√</t>
        </is>
      </c>
      <c r="F17" s="169" t="inlineStr">
        <is>
          <t>√</t>
        </is>
      </c>
      <c r="G17" s="169" t="n">
        <v>1</v>
      </c>
      <c r="H17" s="169" t="n">
        <v>1</v>
      </c>
      <c r="I17" s="189">
        <f>IF(C17="不适用","N/A",IF(D17&lt;&gt;"√",0,IF((E17="√")*AND(F17="√"),1,IF((E17&lt;&gt;"√")*AND(F17="√"),0.5*G17,IF((E17="√")*AND(F17&lt;&gt;"√"),0.5*H17,IF((E17&lt;&gt;"√")*AND(F17&lt;&gt;"√"),0.25*G17*H17))))))</f>
        <v/>
      </c>
      <c r="J17" s="189">
        <f>IF(I17="N/A","不适用",IF(I17=1,"符合",IF(I17=0,"不符合","部分符合")))</f>
        <v/>
      </c>
      <c r="K17" s="235" t="n"/>
      <c r="L17" s="235" t="n"/>
      <c r="M17" s="235" t="n"/>
      <c r="N17" s="219">
        <f>IF(I17="N/A","N/A",整体测评!O$20/M$15)</f>
        <v/>
      </c>
      <c r="O17" s="219">
        <f>IF(I17="N/A","N/A",I17*N17)</f>
        <v/>
      </c>
      <c r="P17" s="219">
        <f>IF(I17="N/A","N/A",N17-O17)</f>
        <v/>
      </c>
    </row>
    <row r="18" ht="33" customHeight="1">
      <c r="A18" s="280" t="n"/>
      <c r="B18" s="75" t="inlineStr">
        <is>
          <t>个贷普惠系统业务数据</t>
        </is>
      </c>
      <c r="C18" s="169" t="inlineStr">
        <is>
          <t>适用</t>
        </is>
      </c>
      <c r="D18" s="169" t="inlineStr">
        <is>
          <t>√</t>
        </is>
      </c>
      <c r="E18" s="169" t="inlineStr">
        <is>
          <t>×</t>
        </is>
      </c>
      <c r="F18" s="169" t="inlineStr">
        <is>
          <t>×</t>
        </is>
      </c>
      <c r="G18" s="169" t="n">
        <v>1</v>
      </c>
      <c r="H18" s="169" t="n">
        <v>1</v>
      </c>
      <c r="I18" s="189">
        <f>IF(C18="不适用","N/A",IF(D18&lt;&gt;"√",0,IF((E18="√")*AND(F18="√"),1,IF((E18&lt;&gt;"√")*AND(F18="√"),0.5*G18,IF((E18="√")*AND(F18&lt;&gt;"√"),0.5*H18,IF((E18&lt;&gt;"√")*AND(F18&lt;&gt;"√"),0.25*G18*H18))))))</f>
        <v/>
      </c>
      <c r="J18" s="189">
        <f>IF(I18="N/A","不适用",IF(I18=1,"符合",IF(I18=0,"不符合","部分符合")))</f>
        <v/>
      </c>
      <c r="K18" s="235" t="n"/>
      <c r="L18" s="235" t="n"/>
      <c r="M18" s="235" t="n"/>
      <c r="N18" s="219">
        <f>IF(I18="N/A","N/A",整体测评!O$20/M$15)</f>
        <v/>
      </c>
      <c r="O18" s="219">
        <f>IF(I18="N/A","N/A",I18*N18)</f>
        <v/>
      </c>
      <c r="P18" s="219">
        <f>IF(I18="N/A","N/A",N18-O18)</f>
        <v/>
      </c>
    </row>
    <row r="19" ht="33" customHeight="1">
      <c r="A19" s="280" t="n"/>
      <c r="B19" s="75" t="inlineStr">
        <is>
          <t>代理财政集中收付系统业务数据</t>
        </is>
      </c>
      <c r="C19" s="169" t="inlineStr">
        <is>
          <t>适用</t>
        </is>
      </c>
      <c r="D19" s="169" t="inlineStr">
        <is>
          <t>×</t>
        </is>
      </c>
      <c r="E19" s="169" t="inlineStr">
        <is>
          <t>/</t>
        </is>
      </c>
      <c r="F19" s="169" t="inlineStr">
        <is>
          <t>/</t>
        </is>
      </c>
      <c r="G19" s="169" t="n">
        <v>1</v>
      </c>
      <c r="H19" s="169" t="n">
        <v>1</v>
      </c>
      <c r="I19" s="189">
        <f>IF(C19="不适用","N/A",IF(D19&lt;&gt;"√",0,IF((E19="√")*AND(F19="√"),1,IF((E19&lt;&gt;"√")*AND(F19="√"),0.5*G19,IF((E19="√")*AND(F19&lt;&gt;"√"),0.5*H19,IF((E19&lt;&gt;"√")*AND(F19&lt;&gt;"√"),0.25*G19*H19))))))</f>
        <v/>
      </c>
      <c r="J19" s="189">
        <f>IF(I19="N/A","不适用",IF(I19=1,"符合",IF(I19=0,"不符合","部分符合")))</f>
        <v/>
      </c>
      <c r="K19" s="235" t="n"/>
      <c r="L19" s="235" t="n"/>
      <c r="M19" s="235" t="n"/>
      <c r="N19" s="219">
        <f>IF(I19="N/A","N/A",整体测评!O$20/M$15)</f>
        <v/>
      </c>
      <c r="O19" s="219">
        <f>IF(I19="N/A","N/A",I19*N19)</f>
        <v/>
      </c>
      <c r="P19" s="219">
        <f>IF(I19="N/A","N/A",N19-O19)</f>
        <v/>
      </c>
    </row>
    <row r="20" ht="33" customHeight="1">
      <c r="A20" s="280" t="n"/>
      <c r="B20" s="75" t="inlineStr">
        <is>
          <t>智慧缴费系统-吴忠热-业务数据</t>
        </is>
      </c>
      <c r="C20" s="169" t="inlineStr">
        <is>
          <t>适用</t>
        </is>
      </c>
      <c r="D20" s="169" t="inlineStr">
        <is>
          <t>×</t>
        </is>
      </c>
      <c r="E20" s="169" t="inlineStr">
        <is>
          <t>/</t>
        </is>
      </c>
      <c r="F20" s="169" t="inlineStr">
        <is>
          <t>/</t>
        </is>
      </c>
      <c r="G20" s="169" t="n">
        <v>1</v>
      </c>
      <c r="H20" s="169" t="n">
        <v>1</v>
      </c>
      <c r="I20" s="189">
        <f>IF(C20="不适用","N/A",IF(D20&lt;&gt;"√",0,IF((E20="√")*AND(F20="√"),1,IF((E20&lt;&gt;"√")*AND(F20="√"),0.5*G20,IF((E20="√")*AND(F20&lt;&gt;"√"),0.5*H20,IF((E20&lt;&gt;"√")*AND(F20&lt;&gt;"√"),0.25*G20*H20))))))</f>
        <v/>
      </c>
      <c r="J20" s="189">
        <f>IF(I20="N/A","不适用",IF(I20=1,"符合",IF(I20=0,"不符合","部分符合")))</f>
        <v/>
      </c>
      <c r="K20" s="235" t="n"/>
      <c r="L20" s="235" t="n"/>
      <c r="M20" s="235" t="n"/>
      <c r="N20" s="219">
        <f>IF(I20="N/A","N/A",整体测评!O$20/M$15)</f>
        <v/>
      </c>
      <c r="O20" s="219">
        <f>IF(I20="N/A","N/A",I20*N20)</f>
        <v/>
      </c>
      <c r="P20" s="219">
        <f>IF(I20="N/A","N/A",N20-O20)</f>
        <v/>
      </c>
    </row>
    <row r="21" ht="33" customHeight="1">
      <c r="A21" s="280" t="n"/>
      <c r="B21" s="75" t="inlineStr">
        <is>
          <t>智慧缴费系统-吴忠水发-业务数据</t>
        </is>
      </c>
      <c r="C21" s="169" t="inlineStr">
        <is>
          <t>适用</t>
        </is>
      </c>
      <c r="D21" s="169" t="inlineStr">
        <is>
          <t>√</t>
        </is>
      </c>
      <c r="E21" s="169" t="inlineStr">
        <is>
          <t>×</t>
        </is>
      </c>
      <c r="F21" s="169" t="inlineStr">
        <is>
          <t>×</t>
        </is>
      </c>
      <c r="G21" s="169" t="n">
        <v>1</v>
      </c>
      <c r="H21" s="169" t="n">
        <v>1</v>
      </c>
      <c r="I21" s="189">
        <f>IF(C21="不适用","N/A",IF(D21&lt;&gt;"√",0,IF((E21="√")*AND(F21="√"),1,IF((E21&lt;&gt;"√")*AND(F21="√"),0.5*G21,IF((E21="√")*AND(F21&lt;&gt;"√"),0.5*H21,IF((E21&lt;&gt;"√")*AND(F21&lt;&gt;"√"),0.25*G21*H21))))))</f>
        <v/>
      </c>
      <c r="J21" s="189">
        <f>IF(I21="N/A","不适用",IF(I21=1,"符合",IF(I21=0,"不符合","部分符合")))</f>
        <v/>
      </c>
      <c r="K21" s="235" t="n"/>
      <c r="L21" s="235" t="n"/>
      <c r="M21" s="235" t="n"/>
      <c r="N21" s="219">
        <f>IF(I21="N/A","N/A",整体测评!O$20/M$15)</f>
        <v/>
      </c>
      <c r="O21" s="219">
        <f>IF(I21="N/A","N/A",I21*N21)</f>
        <v/>
      </c>
      <c r="P21" s="219">
        <f>IF(I21="N/A","N/A",N21-O21)</f>
        <v/>
      </c>
    </row>
    <row r="22" ht="33" customHeight="1">
      <c r="A22" s="280" t="n"/>
      <c r="B22" s="75" t="inlineStr">
        <is>
          <t>智慧缴费系统-高速-业务数据</t>
        </is>
      </c>
      <c r="C22" s="169" t="inlineStr">
        <is>
          <t>适用</t>
        </is>
      </c>
      <c r="D22" s="169" t="inlineStr">
        <is>
          <t>√</t>
        </is>
      </c>
      <c r="E22" s="169" t="inlineStr">
        <is>
          <t>√</t>
        </is>
      </c>
      <c r="F22" s="169" t="inlineStr">
        <is>
          <t>×</t>
        </is>
      </c>
      <c r="G22" s="169" t="n">
        <v>1</v>
      </c>
      <c r="H22" s="169" t="n">
        <v>1</v>
      </c>
      <c r="I22" s="189">
        <f>IF(C22="不适用","N/A",IF(D22&lt;&gt;"√",0,IF((E22="√")*AND(F22="√"),1,IF((E22&lt;&gt;"√")*AND(F22="√"),0.5*G22,IF((E22="√")*AND(F22&lt;&gt;"√"),0.5*H22,IF((E22&lt;&gt;"√")*AND(F22&lt;&gt;"√"),0.25*G22*H22))))))</f>
        <v/>
      </c>
      <c r="J22" s="189">
        <f>IF(I22="N/A","不适用",IF(I22=1,"符合",IF(I22=0,"不符合","部分符合")))</f>
        <v/>
      </c>
      <c r="K22" s="235" t="n"/>
      <c r="L22" s="235" t="n"/>
      <c r="M22" s="235" t="n"/>
      <c r="N22" s="219">
        <f>IF(I22="N/A","N/A",整体测评!O$20/M$15)</f>
        <v/>
      </c>
      <c r="O22" s="219">
        <f>IF(I22="N/A","N/A",I22*N22)</f>
        <v/>
      </c>
      <c r="P22" s="219">
        <f>IF(I22="N/A","N/A",N22-O22)</f>
        <v/>
      </c>
    </row>
    <row r="23" ht="33" customHeight="1">
      <c r="A23" s="280" t="n"/>
      <c r="B23" s="75" t="inlineStr">
        <is>
          <t>现金管理系统-国电-业务数据</t>
        </is>
      </c>
      <c r="C23" s="169" t="inlineStr">
        <is>
          <t>适用</t>
        </is>
      </c>
      <c r="D23" s="169" t="inlineStr">
        <is>
          <t>√</t>
        </is>
      </c>
      <c r="E23" s="169" t="inlineStr">
        <is>
          <t>√</t>
        </is>
      </c>
      <c r="F23" s="169" t="inlineStr">
        <is>
          <t>×</t>
        </is>
      </c>
      <c r="G23" s="169" t="n">
        <v>1</v>
      </c>
      <c r="H23" s="169" t="n">
        <v>1</v>
      </c>
      <c r="I23" s="189">
        <f>IF(C23="不适用","N/A",IF(D23&lt;&gt;"√",0,IF((E23="√")*AND(F23="√"),1,IF((E23&lt;&gt;"√")*AND(F23="√"),0.5*G23,IF((E23="√")*AND(F23&lt;&gt;"√"),0.5*H23,IF((E23&lt;&gt;"√")*AND(F23&lt;&gt;"√"),0.25*G23*H23))))))</f>
        <v/>
      </c>
      <c r="J23" s="189">
        <f>IF(I23="N/A","不适用",IF(I23=1,"符合",IF(I23=0,"不符合","部分符合")))</f>
        <v/>
      </c>
      <c r="K23" s="235" t="n"/>
      <c r="L23" s="235" t="n"/>
      <c r="M23" s="235" t="n"/>
      <c r="N23" s="219">
        <f>IF(I23="N/A","N/A",整体测评!O$20/M$15)</f>
        <v/>
      </c>
      <c r="O23" s="219">
        <f>IF(I23="N/A","N/A",I23*N23)</f>
        <v/>
      </c>
      <c r="P23" s="219">
        <f>IF(I23="N/A","N/A",N23-O23)</f>
        <v/>
      </c>
    </row>
    <row r="24" ht="33" customHeight="1">
      <c r="A24" s="280" t="n"/>
      <c r="B24" s="75" t="inlineStr">
        <is>
          <t>现金管理系统-监狱管理局-业务数据</t>
        </is>
      </c>
      <c r="C24" s="169" t="inlineStr">
        <is>
          <t>适用</t>
        </is>
      </c>
      <c r="D24" s="169" t="inlineStr">
        <is>
          <t>×</t>
        </is>
      </c>
      <c r="E24" s="169" t="inlineStr">
        <is>
          <t>/</t>
        </is>
      </c>
      <c r="F24" s="169" t="inlineStr">
        <is>
          <t>/</t>
        </is>
      </c>
      <c r="G24" s="169" t="n">
        <v>1</v>
      </c>
      <c r="H24" s="169" t="n">
        <v>1</v>
      </c>
      <c r="I24" s="189">
        <f>IF(C24="不适用","N/A",IF(D24&lt;&gt;"√",0,IF((E24="√")*AND(F24="√"),1,IF((E24&lt;&gt;"√")*AND(F24="√"),0.5*G24,IF((E24="√")*AND(F24&lt;&gt;"√"),0.5*H24,IF((E24&lt;&gt;"√")*AND(F24&lt;&gt;"√"),0.25*G24*H24))))))</f>
        <v/>
      </c>
      <c r="J24" s="189">
        <f>IF(I24="N/A","不适用",IF(I24=1,"符合",IF(I24=0,"不符合","部分符合")))</f>
        <v/>
      </c>
      <c r="K24" s="235" t="n"/>
      <c r="L24" s="235" t="n"/>
      <c r="M24" s="235" t="n"/>
      <c r="N24" s="219">
        <f>IF(I24="N/A","N/A",整体测评!O$20/M$15)</f>
        <v/>
      </c>
      <c r="O24" s="219">
        <f>IF(I24="N/A","N/A",I24*N24)</f>
        <v/>
      </c>
      <c r="P24" s="219">
        <f>IF(I24="N/A","N/A",N24-O24)</f>
        <v/>
      </c>
    </row>
    <row r="25" ht="33" customHeight="1">
      <c r="A25" s="280" t="n"/>
      <c r="B25" s="75" t="inlineStr">
        <is>
          <t>现金管理系统-烟草-业务数据</t>
        </is>
      </c>
      <c r="C25" s="169" t="inlineStr">
        <is>
          <t>适用</t>
        </is>
      </c>
      <c r="D25" s="169" t="inlineStr">
        <is>
          <t>×</t>
        </is>
      </c>
      <c r="E25" s="169" t="inlineStr">
        <is>
          <t>/</t>
        </is>
      </c>
      <c r="F25" s="169" t="inlineStr">
        <is>
          <t>/</t>
        </is>
      </c>
      <c r="G25" s="169" t="n">
        <v>1</v>
      </c>
      <c r="H25" s="169" t="n">
        <v>1</v>
      </c>
      <c r="I25" s="189">
        <f>IF(C25="不适用","N/A",IF(D25&lt;&gt;"√",0,IF((E25="√")*AND(F25="√"),1,IF((E25&lt;&gt;"√")*AND(F25="√"),0.5*G25,IF((E25="√")*AND(F25&lt;&gt;"√"),0.5*H25,IF((E25&lt;&gt;"√")*AND(F25&lt;&gt;"√"),0.25*G25*H25))))))</f>
        <v/>
      </c>
      <c r="J25" s="189">
        <f>IF(I25="N/A","不适用",IF(I25=1,"符合",IF(I25=0,"不符合","部分符合")))</f>
        <v/>
      </c>
      <c r="K25" s="235" t="n"/>
      <c r="L25" s="235" t="n"/>
      <c r="M25" s="235" t="n"/>
      <c r="N25" s="219">
        <f>IF(I25="N/A","N/A",整体测评!O$20/M$15)</f>
        <v/>
      </c>
      <c r="O25" s="219">
        <f>IF(I25="N/A","N/A",I25*N25)</f>
        <v/>
      </c>
      <c r="P25" s="219">
        <f>IF(I25="N/A","N/A",N25-O25)</f>
        <v/>
      </c>
    </row>
    <row r="26" ht="33" customHeight="1">
      <c r="A26" s="280" t="n"/>
      <c r="B26" s="75" t="inlineStr">
        <is>
          <t>现金管理系统-预售房-业务数据</t>
        </is>
      </c>
      <c r="C26" s="169" t="inlineStr">
        <is>
          <t>适用</t>
        </is>
      </c>
      <c r="D26" s="169" t="inlineStr">
        <is>
          <t>√</t>
        </is>
      </c>
      <c r="E26" s="169" t="inlineStr">
        <is>
          <t>√</t>
        </is>
      </c>
      <c r="F26" s="169" t="inlineStr">
        <is>
          <t>×</t>
        </is>
      </c>
      <c r="G26" s="169" t="n">
        <v>1</v>
      </c>
      <c r="H26" s="169" t="n">
        <v>1</v>
      </c>
      <c r="I26" s="189">
        <f>IF(C26="不适用","N/A",IF(D26&lt;&gt;"√",0,IF((E26="√")*AND(F26="√"),1,IF((E26&lt;&gt;"√")*AND(F26="√"),0.5*G26,IF((E26="√")*AND(F26&lt;&gt;"√"),0.5*H26,IF((E26&lt;&gt;"√")*AND(F26&lt;&gt;"√"),0.25*G26*H26))))))</f>
        <v/>
      </c>
      <c r="J26" s="189">
        <f>IF(I26="N/A","不适用",IF(I26=1,"符合",IF(I26=0,"不符合","部分符合")))</f>
        <v/>
      </c>
      <c r="K26" s="235" t="n"/>
      <c r="L26" s="235" t="n"/>
      <c r="M26" s="235" t="n"/>
      <c r="N26" s="219">
        <f>IF(I26="N/A","N/A",整体测评!O$20/M$15)</f>
        <v/>
      </c>
      <c r="O26" s="219">
        <f>IF(I26="N/A","N/A",I26*N26)</f>
        <v/>
      </c>
      <c r="P26" s="219">
        <f>IF(I26="N/A","N/A",N26-O26)</f>
        <v/>
      </c>
    </row>
    <row r="27" ht="33" customHeight="1">
      <c r="A27" s="280" t="n"/>
      <c r="B27" s="75" t="inlineStr">
        <is>
          <t>新一代电子不停车收费系统业务数据</t>
        </is>
      </c>
      <c r="C27" s="169" t="inlineStr">
        <is>
          <t>适用</t>
        </is>
      </c>
      <c r="D27" s="169" t="inlineStr">
        <is>
          <t>×</t>
        </is>
      </c>
      <c r="E27" s="169" t="inlineStr">
        <is>
          <t>/</t>
        </is>
      </c>
      <c r="F27" s="169" t="inlineStr">
        <is>
          <t>/</t>
        </is>
      </c>
      <c r="G27" s="169" t="n">
        <v>1</v>
      </c>
      <c r="H27" s="169" t="n">
        <v>1</v>
      </c>
      <c r="I27" s="189">
        <f>IF(C27="不适用","N/A",IF(D27&lt;&gt;"√",0,IF((E27="√")*AND(F27="√"),1,IF((E27&lt;&gt;"√")*AND(F27="√"),0.5*G27,IF((E27="√")*AND(F27&lt;&gt;"√"),0.5*H27,IF((E27&lt;&gt;"√")*AND(F27&lt;&gt;"√"),0.25*G27*H27))))))</f>
        <v/>
      </c>
      <c r="J27" s="189">
        <f>IF(I27="N/A","不适用",IF(I27=1,"符合",IF(I27=0,"不符合","部分符合")))</f>
        <v/>
      </c>
      <c r="K27" s="235" t="n"/>
      <c r="L27" s="235" t="n"/>
      <c r="M27" s="235" t="n"/>
      <c r="N27" s="219">
        <f>IF(I27="N/A","N/A",整体测评!O$20/M$15)</f>
        <v/>
      </c>
      <c r="O27" s="219">
        <f>IF(I27="N/A","N/A",I27*N27)</f>
        <v/>
      </c>
      <c r="P27" s="219">
        <f>IF(I27="N/A","N/A",N27-O27)</f>
        <v/>
      </c>
    </row>
    <row r="28" ht="33" customHeight="1">
      <c r="A28" s="280" t="n"/>
      <c r="B28" s="75" t="inlineStr">
        <is>
          <t>代收付系统-医保厅-业务数据</t>
        </is>
      </c>
      <c r="C28" s="169" t="inlineStr">
        <is>
          <t>适用</t>
        </is>
      </c>
      <c r="D28" s="169" t="inlineStr">
        <is>
          <t>√</t>
        </is>
      </c>
      <c r="E28" s="169" t="inlineStr">
        <is>
          <t>√</t>
        </is>
      </c>
      <c r="F28" s="169" t="inlineStr">
        <is>
          <t>×</t>
        </is>
      </c>
      <c r="G28" s="169" t="n">
        <v>1</v>
      </c>
      <c r="H28" s="169" t="n">
        <v>1</v>
      </c>
      <c r="I28" s="189">
        <f>IF(C28="不适用","N/A",IF(D28&lt;&gt;"√",0,IF((E28="√")*AND(F28="√"),1,IF((E28&lt;&gt;"√")*AND(F28="√"),0.5*G28,IF((E28="√")*AND(F28&lt;&gt;"√"),0.5*H28,IF((E28&lt;&gt;"√")*AND(F28&lt;&gt;"√"),0.25*G28*H28))))))</f>
        <v/>
      </c>
      <c r="J28" s="189">
        <f>IF(I28="N/A","不适用",IF(I28=1,"符合",IF(I28=0,"不符合","部分符合")))</f>
        <v/>
      </c>
      <c r="K28" s="235" t="n"/>
      <c r="L28" s="235" t="n"/>
      <c r="M28" s="235" t="n"/>
      <c r="N28" s="219">
        <f>IF(I28="N/A","N/A",整体测评!O$20/M$15)</f>
        <v/>
      </c>
      <c r="O28" s="219">
        <f>IF(I28="N/A","N/A",I28*N28)</f>
        <v/>
      </c>
      <c r="P28" s="219">
        <f>IF(I28="N/A","N/A",N28-O28)</f>
        <v/>
      </c>
    </row>
    <row r="29" ht="33" customHeight="1">
      <c r="A29" s="280" t="n"/>
      <c r="B29" s="75" t="inlineStr">
        <is>
          <t>代收付系统-学校-业务数据</t>
        </is>
      </c>
      <c r="C29" s="169" t="inlineStr">
        <is>
          <t>适用</t>
        </is>
      </c>
      <c r="D29" s="169" t="inlineStr">
        <is>
          <t>√</t>
        </is>
      </c>
      <c r="E29" s="169" t="inlineStr">
        <is>
          <t>×</t>
        </is>
      </c>
      <c r="F29" s="169" t="inlineStr">
        <is>
          <t>×</t>
        </is>
      </c>
      <c r="G29" s="169" t="n">
        <v>1</v>
      </c>
      <c r="H29" s="169" t="n">
        <v>1</v>
      </c>
      <c r="I29" s="189">
        <f>IF(C29="不适用","N/A",IF(D29&lt;&gt;"√",0,IF((E29="√")*AND(F29="√"),1,IF((E29&lt;&gt;"√")*AND(F29="√"),0.5*G29,IF((E29="√")*AND(F29&lt;&gt;"√"),0.5*H29,IF((E29&lt;&gt;"√")*AND(F29&lt;&gt;"√"),0.25*G29*H29))))))</f>
        <v/>
      </c>
      <c r="J29" s="189">
        <f>IF(I29="N/A","不适用",IF(I29=1,"符合",IF(I29=0,"不符合","部分符合")))</f>
        <v/>
      </c>
      <c r="K29" s="235" t="n"/>
      <c r="L29" s="235" t="n"/>
      <c r="M29" s="235" t="n"/>
      <c r="N29" s="219">
        <f>IF(I29="N/A","N/A",整体测评!O$20/M$15)</f>
        <v/>
      </c>
      <c r="O29" s="219">
        <f>IF(I29="N/A","N/A",I29*N29)</f>
        <v/>
      </c>
      <c r="P29" s="219">
        <f>IF(I29="N/A","N/A",N29-O29)</f>
        <v/>
      </c>
    </row>
    <row r="30" ht="33" customHeight="1">
      <c r="A30" s="280" t="n"/>
      <c r="B30" s="75" t="inlineStr">
        <is>
          <t>代收付系统-银川市物业服务中心-业务数据</t>
        </is>
      </c>
      <c r="C30" s="169" t="inlineStr">
        <is>
          <t>适用</t>
        </is>
      </c>
      <c r="D30" s="169" t="inlineStr">
        <is>
          <t>√</t>
        </is>
      </c>
      <c r="E30" s="169" t="inlineStr">
        <is>
          <t>√</t>
        </is>
      </c>
      <c r="F30" s="169" t="inlineStr">
        <is>
          <t>×</t>
        </is>
      </c>
      <c r="G30" s="169" t="n">
        <v>1</v>
      </c>
      <c r="H30" s="169" t="n">
        <v>1</v>
      </c>
      <c r="I30" s="189">
        <f>IF(C30="不适用","N/A",IF(D30&lt;&gt;"√",0,IF((E30="√")*AND(F30="√"),1,IF((E30&lt;&gt;"√")*AND(F30="√"),0.5*G30,IF((E30="√")*AND(F30&lt;&gt;"√"),0.5*H30,IF((E30&lt;&gt;"√")*AND(F30&lt;&gt;"√"),0.25*G30*H30))))))</f>
        <v/>
      </c>
      <c r="J30" s="189">
        <f>IF(I30="N/A","不适用",IF(I30=1,"符合",IF(I30=0,"不符合","部分符合")))</f>
        <v/>
      </c>
      <c r="K30" s="235" t="n"/>
      <c r="L30" s="235" t="n"/>
      <c r="M30" s="235" t="n"/>
      <c r="N30" s="219">
        <f>IF(I30="N/A","N/A",整体测评!O$20/M$15)</f>
        <v/>
      </c>
      <c r="O30" s="219">
        <f>IF(I30="N/A","N/A",I30*N30)</f>
        <v/>
      </c>
      <c r="P30" s="219">
        <f>IF(I30="N/A","N/A",N30-O30)</f>
        <v/>
      </c>
    </row>
    <row r="31" ht="33" customHeight="1">
      <c r="A31" s="280" t="n"/>
      <c r="B31" s="75" t="inlineStr">
        <is>
          <t>代收付系统-宁夏自治区财政厅-业务数据</t>
        </is>
      </c>
      <c r="C31" s="169" t="inlineStr">
        <is>
          <t>适用</t>
        </is>
      </c>
      <c r="D31" s="169" t="inlineStr">
        <is>
          <t>√</t>
        </is>
      </c>
      <c r="E31" s="169" t="inlineStr">
        <is>
          <t>√</t>
        </is>
      </c>
      <c r="F31" s="169" t="inlineStr">
        <is>
          <t>×</t>
        </is>
      </c>
      <c r="G31" s="169" t="n">
        <v>1</v>
      </c>
      <c r="H31" s="169" t="n">
        <v>1</v>
      </c>
      <c r="I31" s="189">
        <f>IF(C31="不适用","N/A",IF(D31&lt;&gt;"√",0,IF((E31="√")*AND(F31="√"),1,IF((E31&lt;&gt;"√")*AND(F31="√"),0.5*G31,IF((E31="√")*AND(F31&lt;&gt;"√"),0.5*H31,IF((E31&lt;&gt;"√")*AND(F31&lt;&gt;"√"),0.25*G31*H31))))))</f>
        <v/>
      </c>
      <c r="J31" s="189">
        <f>IF(I31="N/A","不适用",IF(I31=1,"符合",IF(I31=0,"不符合","部分符合")))</f>
        <v/>
      </c>
      <c r="K31" s="235" t="n"/>
      <c r="L31" s="235" t="n"/>
      <c r="M31" s="235" t="n"/>
      <c r="N31" s="219">
        <f>IF(I31="N/A","N/A",整体测评!O$20/M$15)</f>
        <v/>
      </c>
      <c r="O31" s="219">
        <f>IF(I31="N/A","N/A",I31*N31)</f>
        <v/>
      </c>
      <c r="P31" s="219">
        <f>IF(I31="N/A","N/A",N31-O31)</f>
        <v/>
      </c>
    </row>
    <row r="32" ht="33" customHeight="1">
      <c r="A32" s="280" t="n"/>
      <c r="B32" s="75" t="inlineStr">
        <is>
          <t>分行智能管理系统-业务数据</t>
        </is>
      </c>
      <c r="C32" s="169" t="inlineStr">
        <is>
          <t>适用</t>
        </is>
      </c>
      <c r="D32" s="169" t="inlineStr">
        <is>
          <t>√</t>
        </is>
      </c>
      <c r="E32" s="169" t="inlineStr">
        <is>
          <t>√</t>
        </is>
      </c>
      <c r="F32" s="169" t="inlineStr">
        <is>
          <t>×</t>
        </is>
      </c>
      <c r="G32" s="169" t="n">
        <v>1</v>
      </c>
      <c r="H32" s="169" t="n">
        <v>1</v>
      </c>
      <c r="I32" s="189">
        <f>IF(C32="不适用","N/A",IF(D32&lt;&gt;"√",0,IF((E32="√")*AND(F32="√"),1,IF((E32&lt;&gt;"√")*AND(F32="√"),0.5*G32,IF((E32="√")*AND(F32&lt;&gt;"√"),0.5*H32,IF((E32&lt;&gt;"√")*AND(F32&lt;&gt;"√"),0.25*G32*H32))))))</f>
        <v/>
      </c>
      <c r="J32" s="189">
        <f>IF(I32="N/A","不适用",IF(I32=1,"符合",IF(I32=0,"不符合","部分符合")))</f>
        <v/>
      </c>
      <c r="K32" s="235" t="n"/>
      <c r="L32" s="235" t="n"/>
      <c r="M32" s="235" t="n"/>
      <c r="N32" s="219">
        <f>IF(I32="N/A","N/A",整体测评!O$20/M$15)</f>
        <v/>
      </c>
      <c r="O32" s="219">
        <f>IF(I32="N/A","N/A",I32*N32)</f>
        <v/>
      </c>
      <c r="P32" s="219">
        <f>IF(I32="N/A","N/A",N32-O32)</f>
        <v/>
      </c>
    </row>
    <row r="33" ht="33" customHeight="1">
      <c r="A33" s="280" t="n"/>
      <c r="B33" s="75" t="inlineStr">
        <is>
          <t>区域客户服务系统-医院-业务数据</t>
        </is>
      </c>
      <c r="C33" s="169" t="inlineStr">
        <is>
          <t>适用</t>
        </is>
      </c>
      <c r="D33" s="169" t="inlineStr">
        <is>
          <t>×</t>
        </is>
      </c>
      <c r="E33" s="169" t="inlineStr">
        <is>
          <t>/</t>
        </is>
      </c>
      <c r="F33" s="169" t="inlineStr">
        <is>
          <t>/</t>
        </is>
      </c>
      <c r="G33" s="169" t="n">
        <v>1</v>
      </c>
      <c r="H33" s="169" t="n">
        <v>1</v>
      </c>
      <c r="I33" s="189">
        <f>IF(C33="不适用","N/A",IF(D33&lt;&gt;"√",0,IF((E33="√")*AND(F33="√"),1,IF((E33&lt;&gt;"√")*AND(F33="√"),0.5*G33,IF((E33="√")*AND(F33&lt;&gt;"√"),0.5*H33,IF((E33&lt;&gt;"√")*AND(F33&lt;&gt;"√"),0.25*G33*H33))))))</f>
        <v/>
      </c>
      <c r="J33" s="189">
        <f>IF(I33="N/A","不适用",IF(I33=1,"符合",IF(I33=0,"不符合","部分符合")))</f>
        <v/>
      </c>
      <c r="K33" s="235" t="n"/>
      <c r="L33" s="235" t="n"/>
      <c r="M33" s="235" t="n"/>
      <c r="N33" s="219">
        <f>IF(I33="N/A","N/A",整体测评!O$20/M$15)</f>
        <v/>
      </c>
      <c r="O33" s="219">
        <f>IF(I33="N/A","N/A",I33*N33)</f>
        <v/>
      </c>
      <c r="P33" s="219">
        <f>IF(I33="N/A","N/A",N33-O33)</f>
        <v/>
      </c>
    </row>
    <row r="34" ht="33" customHeight="1">
      <c r="A34" s="280" t="n"/>
      <c r="B34" s="75" t="inlineStr">
        <is>
          <t>区域客户服务系统-市场监督管理厅-业务数据</t>
        </is>
      </c>
      <c r="C34" s="169" t="inlineStr">
        <is>
          <t>适用</t>
        </is>
      </c>
      <c r="D34" s="169" t="inlineStr">
        <is>
          <t>×</t>
        </is>
      </c>
      <c r="E34" s="169" t="inlineStr">
        <is>
          <t>/</t>
        </is>
      </c>
      <c r="F34" s="169" t="inlineStr">
        <is>
          <t>/</t>
        </is>
      </c>
      <c r="G34" s="169" t="n">
        <v>1</v>
      </c>
      <c r="H34" s="169" t="n">
        <v>1</v>
      </c>
      <c r="I34" s="189">
        <f>IF(C34="不适用","N/A",IF(D34&lt;&gt;"√",0,IF((E34="√")*AND(F34="√"),1,IF((E34&lt;&gt;"√")*AND(F34="√"),0.5*G34,IF((E34="√")*AND(F34&lt;&gt;"√"),0.5*H34,IF((E34&lt;&gt;"√")*AND(F34&lt;&gt;"√"),0.25*G34*H34))))))</f>
        <v/>
      </c>
      <c r="J34" s="189">
        <f>IF(I34="N/A","不适用",IF(I34=1,"符合",IF(I34=0,"不符合","部分符合")))</f>
        <v/>
      </c>
      <c r="K34" s="235" t="n"/>
      <c r="L34" s="235" t="n"/>
      <c r="M34" s="235" t="n"/>
      <c r="N34" s="219">
        <f>IF(I34="N/A","N/A",整体测评!O$20/M$15)</f>
        <v/>
      </c>
      <c r="O34" s="219">
        <f>IF(I34="N/A","N/A",I34*N34)</f>
        <v/>
      </c>
      <c r="P34" s="219">
        <f>IF(I34="N/A","N/A",N34-O34)</f>
        <v/>
      </c>
    </row>
    <row r="35" ht="33" customHeight="1">
      <c r="A35" s="280" t="n"/>
      <c r="B35" s="75" t="inlineStr">
        <is>
          <t>区域客户服务系统-民政厅-业务数据</t>
        </is>
      </c>
      <c r="C35" s="169" t="inlineStr">
        <is>
          <t>适用</t>
        </is>
      </c>
      <c r="D35" s="169" t="inlineStr">
        <is>
          <t>×</t>
        </is>
      </c>
      <c r="E35" s="169" t="inlineStr">
        <is>
          <t>/</t>
        </is>
      </c>
      <c r="F35" s="169" t="inlineStr">
        <is>
          <t>/</t>
        </is>
      </c>
      <c r="G35" s="169" t="n">
        <v>1</v>
      </c>
      <c r="H35" s="169" t="n">
        <v>1</v>
      </c>
      <c r="I35" s="189">
        <f>IF(C35="不适用","N/A",IF(D35&lt;&gt;"√",0,IF((E35="√")*AND(F35="√"),1,IF((E35&lt;&gt;"√")*AND(F35="√"),0.5*G35,IF((E35="√")*AND(F35&lt;&gt;"√"),0.5*H35,IF((E35&lt;&gt;"√")*AND(F35&lt;&gt;"√"),0.25*G35*H35))))))</f>
        <v/>
      </c>
      <c r="J35" s="189">
        <f>IF(I35="N/A","不适用",IF(I35=1,"符合",IF(I35=0,"不符合","部分符合")))</f>
        <v/>
      </c>
      <c r="K35" s="235" t="n"/>
      <c r="L35" s="235" t="n"/>
      <c r="M35" s="235" t="n"/>
      <c r="N35" s="219">
        <f>IF(I35="N/A","N/A",整体测评!O$20/M$15)</f>
        <v/>
      </c>
      <c r="O35" s="219">
        <f>IF(I35="N/A","N/A",I35*N35)</f>
        <v/>
      </c>
      <c r="P35" s="219">
        <f>IF(I35="N/A","N/A",N35-O35)</f>
        <v/>
      </c>
    </row>
    <row r="36" ht="33" customHeight="1">
      <c r="A36" s="280" t="n"/>
      <c r="B36" s="75" t="inlineStr">
        <is>
          <t>区域客户服务系统-总行-业务数据</t>
        </is>
      </c>
      <c r="C36" s="169" t="inlineStr">
        <is>
          <t>适用</t>
        </is>
      </c>
      <c r="D36" s="169" t="inlineStr">
        <is>
          <t>√</t>
        </is>
      </c>
      <c r="E36" s="169" t="inlineStr">
        <is>
          <t>√</t>
        </is>
      </c>
      <c r="F36" s="169" t="inlineStr">
        <is>
          <t>×</t>
        </is>
      </c>
      <c r="G36" s="169" t="n">
        <v>1</v>
      </c>
      <c r="H36" s="169" t="n">
        <v>1</v>
      </c>
      <c r="I36" s="189">
        <f>IF(C36="不适用","N/A",IF(D36&lt;&gt;"√",0,IF((E36="√")*AND(F36="√"),1,IF((E36&lt;&gt;"√")*AND(F36="√"),0.5*G36,IF((E36="√")*AND(F36&lt;&gt;"√"),0.5*H36,IF((E36&lt;&gt;"√")*AND(F36&lt;&gt;"√"),0.25*G36*H36))))))</f>
        <v/>
      </c>
      <c r="J36" s="189">
        <f>IF(I36="N/A","不适用",IF(I36=1,"符合",IF(I36=0,"不符合","部分符合")))</f>
        <v/>
      </c>
      <c r="K36" s="235" t="n"/>
      <c r="L36" s="235" t="n"/>
      <c r="M36" s="235" t="n"/>
      <c r="N36" s="219">
        <f>IF(I36="N/A","N/A",整体测评!O$20/M$15)</f>
        <v/>
      </c>
      <c r="O36" s="219">
        <f>IF(I36="N/A","N/A",I36*N36)</f>
        <v/>
      </c>
      <c r="P36" s="219">
        <f>IF(I36="N/A","N/A",N36-O36)</f>
        <v/>
      </c>
    </row>
    <row r="37" ht="33" customHeight="1">
      <c r="A37" s="280" t="n"/>
      <c r="B37" s="75" t="inlineStr">
        <is>
          <t>区域客户服务系统-燕宝基金会-业务数据</t>
        </is>
      </c>
      <c r="C37" s="169" t="inlineStr">
        <is>
          <t>适用</t>
        </is>
      </c>
      <c r="D37" s="169" t="inlineStr">
        <is>
          <t>×</t>
        </is>
      </c>
      <c r="E37" s="169" t="inlineStr">
        <is>
          <t>/</t>
        </is>
      </c>
      <c r="F37" s="169" t="inlineStr">
        <is>
          <t>/</t>
        </is>
      </c>
      <c r="G37" s="169" t="n">
        <v>1</v>
      </c>
      <c r="H37" s="169" t="n">
        <v>1</v>
      </c>
      <c r="I37" s="189">
        <f>IF(C37="不适用","N/A",IF(D37&lt;&gt;"√",0,IF((E37="√")*AND(F37="√"),1,IF((E37&lt;&gt;"√")*AND(F37="√"),0.5*G37,IF((E37="√")*AND(F37&lt;&gt;"√"),0.5*H37,IF((E37&lt;&gt;"√")*AND(F37&lt;&gt;"√"),0.25*G37*H37))))))</f>
        <v/>
      </c>
      <c r="J37" s="189">
        <f>IF(I37="N/A","不适用",IF(I37=1,"符合",IF(I37=0,"不符合","部分符合")))</f>
        <v/>
      </c>
      <c r="K37" s="235" t="n"/>
      <c r="L37" s="235" t="n"/>
      <c r="M37" s="235" t="n"/>
      <c r="N37" s="219">
        <f>IF(I37="N/A","N/A",整体测评!O$20/M$15)</f>
        <v/>
      </c>
      <c r="O37" s="219">
        <f>IF(I37="N/A","N/A",I37*N37)</f>
        <v/>
      </c>
      <c r="P37" s="219">
        <f>IF(I37="N/A","N/A",N37-O37)</f>
        <v/>
      </c>
    </row>
    <row r="38" ht="33" customHeight="1">
      <c r="A38" s="280" t="n"/>
      <c r="B38" s="75" t="inlineStr">
        <is>
          <t>区域客户服务系统-银保信-业务数据</t>
        </is>
      </c>
      <c r="C38" s="169" t="inlineStr">
        <is>
          <t>适用</t>
        </is>
      </c>
      <c r="D38" s="169" t="inlineStr">
        <is>
          <t>√</t>
        </is>
      </c>
      <c r="E38" s="169" t="inlineStr">
        <is>
          <t>√</t>
        </is>
      </c>
      <c r="F38" s="169" t="inlineStr">
        <is>
          <t>×</t>
        </is>
      </c>
      <c r="G38" s="169" t="n">
        <v>1</v>
      </c>
      <c r="H38" s="169" t="n">
        <v>1</v>
      </c>
      <c r="I38" s="189">
        <f>IF(C38="不适用","N/A",IF(D38&lt;&gt;"√",0,IF((E38="√")*AND(F38="√"),1,IF((E38&lt;&gt;"√")*AND(F38="√"),0.5*G38,IF((E38="√")*AND(F38&lt;&gt;"√"),0.5*H38,IF((E38&lt;&gt;"√")*AND(F38&lt;&gt;"√"),0.25*G38*H38))))))</f>
        <v/>
      </c>
      <c r="J38" s="189">
        <f>IF(I38="N/A","不适用",IF(I38=1,"符合",IF(I38=0,"不符合","部分符合")))</f>
        <v/>
      </c>
      <c r="K38" s="235" t="n"/>
      <c r="L38" s="235" t="n"/>
      <c r="M38" s="235" t="n"/>
      <c r="N38" s="219">
        <f>IF(I38="N/A","N/A",整体测评!O$20/M$15)</f>
        <v/>
      </c>
      <c r="O38" s="219">
        <f>IF(I38="N/A","N/A",I38*N38)</f>
        <v/>
      </c>
      <c r="P38" s="219">
        <f>IF(I38="N/A","N/A",N38-O38)</f>
        <v/>
      </c>
    </row>
    <row r="39" ht="33" customHeight="1">
      <c r="A39" s="280" t="n"/>
      <c r="B39" s="75" t="inlineStr">
        <is>
          <t>区域客户服务系统-金惠-业务数据</t>
        </is>
      </c>
      <c r="C39" s="169" t="inlineStr">
        <is>
          <t>适用</t>
        </is>
      </c>
      <c r="D39" s="169" t="inlineStr">
        <is>
          <t>√</t>
        </is>
      </c>
      <c r="E39" s="169" t="inlineStr">
        <is>
          <t>×</t>
        </is>
      </c>
      <c r="F39" s="169" t="inlineStr">
        <is>
          <t>×</t>
        </is>
      </c>
      <c r="G39" s="169" t="n">
        <v>1</v>
      </c>
      <c r="H39" s="169" t="n">
        <v>1</v>
      </c>
      <c r="I39" s="189">
        <f>IF(C39="不适用","N/A",IF(D39&lt;&gt;"√",0,IF((E39="√")*AND(F39="√"),1,IF((E39&lt;&gt;"√")*AND(F39="√"),0.5*G39,IF((E39="√")*AND(F39&lt;&gt;"√"),0.5*H39,IF((E39&lt;&gt;"√")*AND(F39&lt;&gt;"√"),0.25*G39*H39))))))</f>
        <v/>
      </c>
      <c r="J39" s="189">
        <f>IF(I39="N/A","不适用",IF(I39=1,"符合",IF(I39=0,"不符合","部分符合")))</f>
        <v/>
      </c>
      <c r="K39" s="235" t="n"/>
      <c r="L39" s="235" t="n"/>
      <c r="M39" s="235" t="n"/>
      <c r="N39" s="219">
        <f>IF(I39="N/A","N/A",整体测评!O$20/M$15)</f>
        <v/>
      </c>
      <c r="O39" s="219">
        <f>IF(I39="N/A","N/A",I39*N39)</f>
        <v/>
      </c>
      <c r="P39" s="219">
        <f>IF(I39="N/A","N/A",N39-O39)</f>
        <v/>
      </c>
    </row>
    <row r="40" ht="33" customHeight="1">
      <c r="A40" s="280" t="n"/>
      <c r="B40" s="75" t="inlineStr">
        <is>
          <t>穿山甲平台-用户登录口令</t>
        </is>
      </c>
      <c r="C40" s="169" t="inlineStr">
        <is>
          <t>适用</t>
        </is>
      </c>
      <c r="D40" s="169" t="inlineStr">
        <is>
          <t>×</t>
        </is>
      </c>
      <c r="E40" s="169" t="inlineStr">
        <is>
          <t>/</t>
        </is>
      </c>
      <c r="F40" s="169" t="inlineStr">
        <is>
          <t>/</t>
        </is>
      </c>
      <c r="G40" s="169" t="n">
        <v>1</v>
      </c>
      <c r="H40" s="169" t="n">
        <v>1</v>
      </c>
      <c r="I40" s="189">
        <f>IF(C40="不适用","N/A",IF(D40&lt;&gt;"√",0,IF((E40="√")*AND(F40="√"),1,IF((E40&lt;&gt;"√")*AND(F40="√"),0.5*G40,IF((E40="√")*AND(F40&lt;&gt;"√"),0.5*H40,IF((E40&lt;&gt;"√")*AND(F40&lt;&gt;"√"),0.25*G40*H40))))))</f>
        <v/>
      </c>
      <c r="J40" s="189">
        <f>IF(I40="N/A","不适用",IF(I40=1,"符合",IF(I40=0,"不符合","部分符合")))</f>
        <v/>
      </c>
      <c r="K40" s="235" t="n"/>
      <c r="L40" s="235" t="n"/>
      <c r="M40" s="235" t="n"/>
      <c r="N40" s="219">
        <f>IF(I40="N/A","N/A",整体测评!O$20/M$15)</f>
        <v/>
      </c>
      <c r="O40" s="219">
        <f>IF(I40="N/A","N/A",I40*N40)</f>
        <v/>
      </c>
      <c r="P40" s="219">
        <f>IF(I40="N/A","N/A",N40-O40)</f>
        <v/>
      </c>
    </row>
    <row r="41" ht="33" customHeight="1">
      <c r="A41" s="280" t="n"/>
      <c r="B41" s="75" t="inlineStr">
        <is>
          <t>智慧缴费系统-新南燃气-业务数据</t>
        </is>
      </c>
      <c r="C41" s="169" t="inlineStr">
        <is>
          <t>适用</t>
        </is>
      </c>
      <c r="D41" s="169" t="inlineStr">
        <is>
          <t>×</t>
        </is>
      </c>
      <c r="E41" s="169" t="inlineStr">
        <is>
          <t>/</t>
        </is>
      </c>
      <c r="F41" s="169" t="inlineStr">
        <is>
          <t>/</t>
        </is>
      </c>
      <c r="G41" s="169" t="n">
        <v>1</v>
      </c>
      <c r="H41" s="169" t="n">
        <v>1</v>
      </c>
      <c r="I41" s="189">
        <f>IF(C41="不适用","N/A",IF(D41&lt;&gt;"√",0,IF((E41="√")*AND(F41="√"),1,IF((E41&lt;&gt;"√")*AND(F41="√"),0.5*G41,IF((E41="√")*AND(F41&lt;&gt;"√"),0.5*H41,IF((E41&lt;&gt;"√")*AND(F41&lt;&gt;"√"),0.25*G41*H41))))))</f>
        <v/>
      </c>
      <c r="J41" s="189">
        <f>IF(I41="N/A","不适用",IF(I41=1,"符合",IF(I41=0,"不符合","部分符合")))</f>
        <v/>
      </c>
      <c r="K41" s="235" t="n"/>
      <c r="L41" s="235" t="n"/>
      <c r="M41" s="235" t="n"/>
      <c r="N41" s="219">
        <f>IF(I41="N/A","N/A",整体测评!O$20/M$15)</f>
        <v/>
      </c>
      <c r="O41" s="219">
        <f>IF(I41="N/A","N/A",I41*N41)</f>
        <v/>
      </c>
      <c r="P41" s="219">
        <f>IF(I41="N/A","N/A",N41-O41)</f>
        <v/>
      </c>
    </row>
    <row r="42" ht="33" customHeight="1">
      <c r="A42" s="280" t="n"/>
      <c r="B42" s="75" t="inlineStr">
        <is>
          <t>区域客户服务系统-人行账户管控-业务数据</t>
        </is>
      </c>
      <c r="C42" s="169" t="inlineStr">
        <is>
          <t>适用</t>
        </is>
      </c>
      <c r="D42" s="169" t="inlineStr">
        <is>
          <t>×</t>
        </is>
      </c>
      <c r="E42" s="169" t="inlineStr">
        <is>
          <t>/</t>
        </is>
      </c>
      <c r="F42" s="169" t="inlineStr">
        <is>
          <t>/</t>
        </is>
      </c>
      <c r="G42" s="169" t="n">
        <v>1</v>
      </c>
      <c r="H42" s="169" t="n">
        <v>1</v>
      </c>
      <c r="I42" s="189">
        <f>IF(C42="不适用","N/A",IF(D42&lt;&gt;"√",0,IF((E42="√")*AND(F42="√"),1,IF((E42&lt;&gt;"√")*AND(F42="√"),0.5*G42,IF((E42="√")*AND(F42&lt;&gt;"√"),0.5*H42,IF((E42&lt;&gt;"√")*AND(F42&lt;&gt;"√"),0.25*G42*H42))))))</f>
        <v/>
      </c>
      <c r="J42" s="189">
        <f>IF(I42="N/A","不适用",IF(I42=1,"符合",IF(I42=0,"不符合","部分符合")))</f>
        <v/>
      </c>
      <c r="K42" s="235" t="n"/>
      <c r="L42" s="235" t="n"/>
      <c r="M42" s="235" t="n"/>
      <c r="N42" s="219">
        <f>IF(I42="N/A","N/A",整体测评!O$20/M$15)</f>
        <v/>
      </c>
      <c r="O42" s="219">
        <f>IF(I42="N/A","N/A",I42*N42)</f>
        <v/>
      </c>
      <c r="P42" s="219">
        <f>IF(I42="N/A","N/A",N42-O42)</f>
        <v/>
      </c>
    </row>
    <row r="43" ht="25.2" customHeight="1">
      <c r="A43" s="278" t="n"/>
      <c r="B43" s="167" t="inlineStr">
        <is>
          <t>勿删</t>
        </is>
      </c>
      <c r="C43" s="168" t="inlineStr">
        <is>
          <t>不适用</t>
        </is>
      </c>
      <c r="D43" s="169" t="inlineStr">
        <is>
          <t>√</t>
        </is>
      </c>
      <c r="E43" s="169" t="inlineStr">
        <is>
          <t>√</t>
        </is>
      </c>
      <c r="F43" s="169" t="inlineStr">
        <is>
          <t>√</t>
        </is>
      </c>
      <c r="G43" s="169" t="n">
        <v>1</v>
      </c>
      <c r="H43" s="169" t="n">
        <v>1</v>
      </c>
      <c r="I43" s="189">
        <f>IF(C43="不适用","N/A",IF(D43&lt;&gt;"√",0,IF((E43="√")*AND(F43="√"),1,IF((E43&lt;&gt;"√")*AND(F43="√"),0.5*G43,IF((E43="√")*AND(F43&lt;&gt;"√"),0.5*H43,IF((E43&lt;&gt;"√")*AND(F43&lt;&gt;"√"),0.25*G43*H43))))))</f>
        <v/>
      </c>
      <c r="J43" s="189">
        <f>IF(I43="N/A","不适用",IF(I43=1,"符合",IF(I43=0,"不符合","部分符合")))</f>
        <v/>
      </c>
      <c r="K43" s="229" t="n"/>
      <c r="L43" s="229" t="n"/>
      <c r="M43" s="229" t="n"/>
      <c r="N43" s="219">
        <f>IF(I43="N/A","N/A",整体测评!O$20/M$15)</f>
        <v/>
      </c>
      <c r="O43" s="219">
        <f>IF(I43="N/A","N/A",I43*N43)</f>
        <v/>
      </c>
      <c r="P43" s="219">
        <f>IF(I43="N/A","N/A",N43-O43)</f>
        <v/>
      </c>
    </row>
    <row r="44" ht="25" customHeight="1">
      <c r="A44" s="220" t="inlineStr">
        <is>
          <t>重要数据存储机密性</t>
        </is>
      </c>
      <c r="B44" s="75" t="inlineStr">
        <is>
          <t>外部数据管理系统鉴别数据</t>
        </is>
      </c>
      <c r="C44" s="169" t="inlineStr">
        <is>
          <t>适用</t>
        </is>
      </c>
      <c r="D44" s="169" t="inlineStr">
        <is>
          <t>×</t>
        </is>
      </c>
      <c r="E44" s="169" t="inlineStr">
        <is>
          <t>/</t>
        </is>
      </c>
      <c r="F44" s="169" t="inlineStr">
        <is>
          <t>/</t>
        </is>
      </c>
      <c r="G44" s="169" t="n">
        <v>1</v>
      </c>
      <c r="H44" s="169" t="n">
        <v>1</v>
      </c>
      <c r="I44" s="189">
        <f>IF(C44="不适用","N/A",IF(D44&lt;&gt;"√",0,IF((E44="√")*AND(F44="√"),1,IF((E44&lt;&gt;"√")*AND(F44="√"),0.5*G44,IF((E44="√")*AND(F44&lt;&gt;"√"),0.5*H44,IF((E44&lt;&gt;"√")*AND(F44&lt;&gt;"√"),0.25*G44*H44))))))</f>
        <v/>
      </c>
      <c r="J44" s="189">
        <f>IF(I44="N/A","不适用",IF(I44=1,"符合",IF(I44=0,"不符合","部分符合")))</f>
        <v/>
      </c>
      <c r="K44" s="283">
        <f>IF(COUNTIF($I44:$I61,"N/A")=COUNTA($I44:$I61),"N/A",AVERAGE($I44:$I61))</f>
        <v/>
      </c>
      <c r="L44" s="218">
        <f>IF(K44="N/A","不适用",IF(K44=1,"符合",IF(K44=0,"不符合","部分符合")))</f>
        <v/>
      </c>
      <c r="M44" s="189">
        <f>(COUNTA($C44:$C61)-COUNTIF($C44:$C61,"不适用"))</f>
        <v/>
      </c>
      <c r="N44" s="219">
        <f>IF(I44="N/A","N/A",整体测评!O$21/M$44)</f>
        <v/>
      </c>
      <c r="O44" s="219">
        <f>IF(I44="N/A","N/A",I44*N44)</f>
        <v/>
      </c>
      <c r="P44" s="219">
        <f>IF(I44="N/A","N/A",N44-O44)</f>
        <v/>
      </c>
    </row>
    <row r="45" ht="25" customHeight="1">
      <c r="A45" s="280" t="n"/>
      <c r="B45" s="75" t="inlineStr">
        <is>
          <t>外部数据管理系统业务数据</t>
        </is>
      </c>
      <c r="C45" s="169" t="inlineStr">
        <is>
          <t>适用</t>
        </is>
      </c>
      <c r="D45" s="169" t="inlineStr">
        <is>
          <t>×</t>
        </is>
      </c>
      <c r="E45" s="169" t="inlineStr">
        <is>
          <t>/</t>
        </is>
      </c>
      <c r="F45" s="169" t="inlineStr">
        <is>
          <t>/</t>
        </is>
      </c>
      <c r="G45" s="169" t="n">
        <v>1</v>
      </c>
      <c r="H45" s="169" t="n">
        <v>1</v>
      </c>
      <c r="I45" s="189">
        <f>IF(C45="不适用","N/A",IF(D45&lt;&gt;"√",0,IF((E45="√")*AND(F45="√"),1,IF((E45&lt;&gt;"√")*AND(F45="√"),0.5*G45,IF((E45="√")*AND(F45&lt;&gt;"√"),0.5*H45,IF((E45&lt;&gt;"√")*AND(F45&lt;&gt;"√"),0.25*G45*H45))))))</f>
        <v/>
      </c>
      <c r="J45" s="189">
        <f>IF(I45="N/A","不适用",IF(I45=1,"符合",IF(I45=0,"不符合","部分符合")))</f>
        <v/>
      </c>
      <c r="K45" s="235" t="n"/>
      <c r="L45" s="235" t="n"/>
      <c r="M45" s="235" t="n"/>
      <c r="N45" s="219">
        <f>IF(I45="N/A","N/A",整体测评!O$21/M$44)</f>
        <v/>
      </c>
      <c r="O45" s="219">
        <f>IF(I45="N/A","N/A",I45*N45)</f>
        <v/>
      </c>
      <c r="P45" s="219">
        <f>IF(I45="N/A","N/A",N45-O45)</f>
        <v/>
      </c>
    </row>
    <row r="46" ht="25" customHeight="1">
      <c r="A46" s="280" t="n"/>
      <c r="B46" s="75" t="inlineStr">
        <is>
          <t>智慧社保系统业务数据</t>
        </is>
      </c>
      <c r="C46" s="169" t="inlineStr">
        <is>
          <t>适用</t>
        </is>
      </c>
      <c r="D46" s="169" t="inlineStr">
        <is>
          <t>×</t>
        </is>
      </c>
      <c r="E46" s="169" t="inlineStr">
        <is>
          <t>/</t>
        </is>
      </c>
      <c r="F46" s="169" t="inlineStr">
        <is>
          <t>/</t>
        </is>
      </c>
      <c r="G46" s="169" t="n">
        <v>1</v>
      </c>
      <c r="H46" s="169" t="n">
        <v>1</v>
      </c>
      <c r="I46" s="189">
        <f>IF(C46="不适用","N/A",IF(D46&lt;&gt;"√",0,IF((E46="√")*AND(F46="√"),1,IF((E46&lt;&gt;"√")*AND(F46="√"),0.5*G46,IF((E46="√")*AND(F46&lt;&gt;"√"),0.5*H46,IF((E46&lt;&gt;"√")*AND(F46&lt;&gt;"√"),0.25*G46*H46))))))</f>
        <v/>
      </c>
      <c r="J46" s="189">
        <f>IF(I46="N/A","不适用",IF(I46=1,"符合",IF(I46=0,"不符合","部分符合")))</f>
        <v/>
      </c>
      <c r="K46" s="235" t="n"/>
      <c r="L46" s="235" t="n"/>
      <c r="M46" s="235" t="n"/>
      <c r="N46" s="219">
        <f>IF(I46="N/A","N/A",整体测评!O$21/M$44)</f>
        <v/>
      </c>
      <c r="O46" s="219">
        <f>IF(I46="N/A","N/A",I46*N46)</f>
        <v/>
      </c>
      <c r="P46" s="219">
        <f>IF(I46="N/A","N/A",N46-O46)</f>
        <v/>
      </c>
    </row>
    <row r="47" ht="25" customHeight="1">
      <c r="A47" s="280" t="n"/>
      <c r="B47" s="75" t="inlineStr">
        <is>
          <t>个贷普惠系统业务数据</t>
        </is>
      </c>
      <c r="C47" s="169" t="inlineStr">
        <is>
          <t>适用</t>
        </is>
      </c>
      <c r="D47" s="169" t="inlineStr">
        <is>
          <t>×</t>
        </is>
      </c>
      <c r="E47" s="169" t="inlineStr">
        <is>
          <t>/</t>
        </is>
      </c>
      <c r="F47" s="169" t="inlineStr">
        <is>
          <t>/</t>
        </is>
      </c>
      <c r="G47" s="169" t="n">
        <v>1</v>
      </c>
      <c r="H47" s="169" t="n">
        <v>1</v>
      </c>
      <c r="I47" s="189">
        <f>IF(C47="不适用","N/A",IF(D47&lt;&gt;"√",0,IF((E47="√")*AND(F47="√"),1,IF((E47&lt;&gt;"√")*AND(F47="√"),0.5*G47,IF((E47="√")*AND(F47&lt;&gt;"√"),0.5*H47,IF((E47&lt;&gt;"√")*AND(F47&lt;&gt;"√"),0.25*G47*H47))))))</f>
        <v/>
      </c>
      <c r="J47" s="189">
        <f>IF(I47="N/A","不适用",IF(I47=1,"符合",IF(I47=0,"不符合","部分符合")))</f>
        <v/>
      </c>
      <c r="K47" s="235" t="n"/>
      <c r="L47" s="235" t="n"/>
      <c r="M47" s="235" t="n"/>
      <c r="N47" s="219">
        <f>IF(I47="N/A","N/A",整体测评!O$21/M$44)</f>
        <v/>
      </c>
      <c r="O47" s="219">
        <f>IF(I47="N/A","N/A",I47*N47)</f>
        <v/>
      </c>
      <c r="P47" s="219">
        <f>IF(I47="N/A","N/A",N47-O47)</f>
        <v/>
      </c>
    </row>
    <row r="48" ht="25" customHeight="1">
      <c r="A48" s="280" t="n"/>
      <c r="B48" s="75" t="inlineStr">
        <is>
          <t>代理财政集中收付系统业务数据</t>
        </is>
      </c>
      <c r="C48" s="169" t="inlineStr">
        <is>
          <t>适用</t>
        </is>
      </c>
      <c r="D48" s="169" t="inlineStr">
        <is>
          <t>×</t>
        </is>
      </c>
      <c r="E48" s="169" t="inlineStr">
        <is>
          <t>/</t>
        </is>
      </c>
      <c r="F48" s="169" t="inlineStr">
        <is>
          <t>/</t>
        </is>
      </c>
      <c r="G48" s="169" t="n">
        <v>1</v>
      </c>
      <c r="H48" s="169" t="n">
        <v>1</v>
      </c>
      <c r="I48" s="189">
        <f>IF(C48="不适用","N/A",IF(D48&lt;&gt;"√",0,IF((E48="√")*AND(F48="√"),1,IF((E48&lt;&gt;"√")*AND(F48="√"),0.5*G48,IF((E48="√")*AND(F48&lt;&gt;"√"),0.5*H48,IF((E48&lt;&gt;"√")*AND(F48&lt;&gt;"√"),0.25*G48*H48))))))</f>
        <v/>
      </c>
      <c r="J48" s="189">
        <f>IF(I48="N/A","不适用",IF(I48=1,"符合",IF(I48=0,"不符合","部分符合")))</f>
        <v/>
      </c>
      <c r="K48" s="235" t="n"/>
      <c r="L48" s="235" t="n"/>
      <c r="M48" s="235" t="n"/>
      <c r="N48" s="219">
        <f>IF(I48="N/A","N/A",整体测评!O$21/M$44)</f>
        <v/>
      </c>
      <c r="O48" s="219">
        <f>IF(I48="N/A","N/A",I48*N48)</f>
        <v/>
      </c>
      <c r="P48" s="219">
        <f>IF(I48="N/A","N/A",N48-O48)</f>
        <v/>
      </c>
    </row>
    <row r="49" ht="25" customHeight="1">
      <c r="A49" s="280" t="n"/>
      <c r="B49" s="75" t="inlineStr">
        <is>
          <t>智慧缴费系统-吴忠热-业务数据</t>
        </is>
      </c>
      <c r="C49" s="169" t="inlineStr">
        <is>
          <t>适用</t>
        </is>
      </c>
      <c r="D49" s="169" t="inlineStr">
        <is>
          <t>×</t>
        </is>
      </c>
      <c r="E49" s="169" t="inlineStr">
        <is>
          <t>/</t>
        </is>
      </c>
      <c r="F49" s="169" t="inlineStr">
        <is>
          <t>/</t>
        </is>
      </c>
      <c r="G49" s="169" t="n">
        <v>1</v>
      </c>
      <c r="H49" s="169" t="n">
        <v>1</v>
      </c>
      <c r="I49" s="189">
        <f>IF(C49="不适用","N/A",IF(D49&lt;&gt;"√",0,IF((E49="√")*AND(F49="√"),1,IF((E49&lt;&gt;"√")*AND(F49="√"),0.5*G49,IF((E49="√")*AND(F49&lt;&gt;"√"),0.5*H49,IF((E49&lt;&gt;"√")*AND(F49&lt;&gt;"√"),0.25*G49*H49))))))</f>
        <v/>
      </c>
      <c r="J49" s="189">
        <f>IF(I49="N/A","不适用",IF(I49=1,"符合",IF(I49=0,"不符合","部分符合")))</f>
        <v/>
      </c>
      <c r="K49" s="235" t="n"/>
      <c r="L49" s="235" t="n"/>
      <c r="M49" s="235" t="n"/>
      <c r="N49" s="219">
        <f>IF(I49="N/A","N/A",整体测评!O$21/M$44)</f>
        <v/>
      </c>
      <c r="O49" s="219">
        <f>IF(I49="N/A","N/A",I49*N49)</f>
        <v/>
      </c>
      <c r="P49" s="219">
        <f>IF(I49="N/A","N/A",N49-O49)</f>
        <v/>
      </c>
    </row>
    <row r="50" ht="25" customHeight="1">
      <c r="A50" s="280" t="n"/>
      <c r="B50" s="75" t="inlineStr">
        <is>
          <t>智慧缴费系统-吴忠水发-业务数据</t>
        </is>
      </c>
      <c r="C50" s="169" t="inlineStr">
        <is>
          <t>适用</t>
        </is>
      </c>
      <c r="D50" s="169" t="inlineStr">
        <is>
          <t>×</t>
        </is>
      </c>
      <c r="E50" s="169" t="inlineStr">
        <is>
          <t>/</t>
        </is>
      </c>
      <c r="F50" s="169" t="inlineStr">
        <is>
          <t>/</t>
        </is>
      </c>
      <c r="G50" s="169" t="n">
        <v>1</v>
      </c>
      <c r="H50" s="169" t="n">
        <v>1</v>
      </c>
      <c r="I50" s="189">
        <f>IF(C50="不适用","N/A",IF(D50&lt;&gt;"√",0,IF((E50="√")*AND(F50="√"),1,IF((E50&lt;&gt;"√")*AND(F50="√"),0.5*G50,IF((E50="√")*AND(F50&lt;&gt;"√"),0.5*H50,IF((E50&lt;&gt;"√")*AND(F50&lt;&gt;"√"),0.25*G50*H50))))))</f>
        <v/>
      </c>
      <c r="J50" s="189">
        <f>IF(I50="N/A","不适用",IF(I50=1,"符合",IF(I50=0,"不符合","部分符合")))</f>
        <v/>
      </c>
      <c r="K50" s="235" t="n"/>
      <c r="L50" s="235" t="n"/>
      <c r="M50" s="235" t="n"/>
      <c r="N50" s="219">
        <f>IF(I50="N/A","N/A",整体测评!O$21/M$44)</f>
        <v/>
      </c>
      <c r="O50" s="219">
        <f>IF(I50="N/A","N/A",I50*N50)</f>
        <v/>
      </c>
      <c r="P50" s="219">
        <f>IF(I50="N/A","N/A",N50-O50)</f>
        <v/>
      </c>
    </row>
    <row r="51" ht="25" customHeight="1">
      <c r="A51" s="280" t="n"/>
      <c r="B51" s="75" t="inlineStr">
        <is>
          <t>智慧缴费系统-高速-业务数据</t>
        </is>
      </c>
      <c r="C51" s="169" t="inlineStr">
        <is>
          <t>适用</t>
        </is>
      </c>
      <c r="D51" s="169" t="inlineStr">
        <is>
          <t>×</t>
        </is>
      </c>
      <c r="E51" s="169" t="inlineStr">
        <is>
          <t>/</t>
        </is>
      </c>
      <c r="F51" s="169" t="inlineStr">
        <is>
          <t>/</t>
        </is>
      </c>
      <c r="G51" s="169" t="n">
        <v>1</v>
      </c>
      <c r="H51" s="169" t="n">
        <v>1</v>
      </c>
      <c r="I51" s="189">
        <f>IF(C51="不适用","N/A",IF(D51&lt;&gt;"√",0,IF((E51="√")*AND(F51="√"),1,IF((E51&lt;&gt;"√")*AND(F51="√"),0.5*G51,IF((E51="√")*AND(F51&lt;&gt;"√"),0.5*H51,IF((E51&lt;&gt;"√")*AND(F51&lt;&gt;"√"),0.25*G51*H51))))))</f>
        <v/>
      </c>
      <c r="J51" s="189">
        <f>IF(I51="N/A","不适用",IF(I51=1,"符合",IF(I51=0,"不符合","部分符合")))</f>
        <v/>
      </c>
      <c r="K51" s="235" t="n"/>
      <c r="L51" s="235" t="n"/>
      <c r="M51" s="235" t="n"/>
      <c r="N51" s="219">
        <f>IF(I51="N/A","N/A",整体测评!O$21/M$44)</f>
        <v/>
      </c>
      <c r="O51" s="219">
        <f>IF(I51="N/A","N/A",I51*N51)</f>
        <v/>
      </c>
      <c r="P51" s="219">
        <f>IF(I51="N/A","N/A",N51-O51)</f>
        <v/>
      </c>
    </row>
    <row r="52" ht="25" customHeight="1">
      <c r="A52" s="280" t="n"/>
      <c r="B52" s="75" t="inlineStr">
        <is>
          <t>现金管理系统-国电-业务数据</t>
        </is>
      </c>
      <c r="C52" s="169" t="inlineStr">
        <is>
          <t>适用</t>
        </is>
      </c>
      <c r="D52" s="169" t="inlineStr">
        <is>
          <t>×</t>
        </is>
      </c>
      <c r="E52" s="169" t="inlineStr">
        <is>
          <t>/</t>
        </is>
      </c>
      <c r="F52" s="169" t="inlineStr">
        <is>
          <t>/</t>
        </is>
      </c>
      <c r="G52" s="169" t="n">
        <v>1</v>
      </c>
      <c r="H52" s="169" t="n">
        <v>1</v>
      </c>
      <c r="I52" s="189">
        <f>IF(C52="不适用","N/A",IF(D52&lt;&gt;"√",0,IF((E52="√")*AND(F52="√"),1,IF((E52&lt;&gt;"√")*AND(F52="√"),0.5*G52,IF((E52="√")*AND(F52&lt;&gt;"√"),0.5*H52,IF((E52&lt;&gt;"√")*AND(F52&lt;&gt;"√"),0.25*G52*H52))))))</f>
        <v/>
      </c>
      <c r="J52" s="189">
        <f>IF(I52="N/A","不适用",IF(I52=1,"符合",IF(I52=0,"不符合","部分符合")))</f>
        <v/>
      </c>
      <c r="K52" s="235" t="n"/>
      <c r="L52" s="235" t="n"/>
      <c r="M52" s="235" t="n"/>
      <c r="N52" s="219">
        <f>IF(I52="N/A","N/A",整体测评!O$21/M$44)</f>
        <v/>
      </c>
      <c r="O52" s="219">
        <f>IF(I52="N/A","N/A",I52*N52)</f>
        <v/>
      </c>
      <c r="P52" s="219">
        <f>IF(I52="N/A","N/A",N52-O52)</f>
        <v/>
      </c>
    </row>
    <row r="53" ht="25" customHeight="1">
      <c r="A53" s="280" t="n"/>
      <c r="B53" s="75" t="inlineStr">
        <is>
          <t>现金管理系统-监狱管理局-业务数据</t>
        </is>
      </c>
      <c r="C53" s="169" t="inlineStr">
        <is>
          <t>适用</t>
        </is>
      </c>
      <c r="D53" s="169" t="inlineStr">
        <is>
          <t>×</t>
        </is>
      </c>
      <c r="E53" s="169" t="inlineStr">
        <is>
          <t>/</t>
        </is>
      </c>
      <c r="F53" s="169" t="inlineStr">
        <is>
          <t>/</t>
        </is>
      </c>
      <c r="G53" s="169" t="n">
        <v>1</v>
      </c>
      <c r="H53" s="169" t="n">
        <v>1</v>
      </c>
      <c r="I53" s="189">
        <f>IF(C53="不适用","N/A",IF(D53&lt;&gt;"√",0,IF((E53="√")*AND(F53="√"),1,IF((E53&lt;&gt;"√")*AND(F53="√"),0.5*G53,IF((E53="√")*AND(F53&lt;&gt;"√"),0.5*H53,IF((E53&lt;&gt;"√")*AND(F53&lt;&gt;"√"),0.25*G53*H53))))))</f>
        <v/>
      </c>
      <c r="J53" s="189">
        <f>IF(I53="N/A","不适用",IF(I53=1,"符合",IF(I53=0,"不符合","部分符合")))</f>
        <v/>
      </c>
      <c r="K53" s="235" t="n"/>
      <c r="L53" s="235" t="n"/>
      <c r="M53" s="235" t="n"/>
      <c r="N53" s="219">
        <f>IF(I53="N/A","N/A",整体测评!O$21/M$44)</f>
        <v/>
      </c>
      <c r="O53" s="219">
        <f>IF(I53="N/A","N/A",I53*N53)</f>
        <v/>
      </c>
      <c r="P53" s="219">
        <f>IF(I53="N/A","N/A",N53-O53)</f>
        <v/>
      </c>
    </row>
    <row r="54" ht="25" customHeight="1">
      <c r="A54" s="280" t="n"/>
      <c r="B54" s="75" t="inlineStr">
        <is>
          <t>现金管理系统-烟草-业务数据</t>
        </is>
      </c>
      <c r="C54" s="169" t="inlineStr">
        <is>
          <t>适用</t>
        </is>
      </c>
      <c r="D54" s="169" t="inlineStr">
        <is>
          <t>×</t>
        </is>
      </c>
      <c r="E54" s="169" t="inlineStr">
        <is>
          <t>/</t>
        </is>
      </c>
      <c r="F54" s="169" t="inlineStr">
        <is>
          <t>/</t>
        </is>
      </c>
      <c r="G54" s="169" t="n">
        <v>1</v>
      </c>
      <c r="H54" s="169" t="n">
        <v>1</v>
      </c>
      <c r="I54" s="189">
        <f>IF(C54="不适用","N/A",IF(D54&lt;&gt;"√",0,IF((E54="√")*AND(F54="√"),1,IF((E54&lt;&gt;"√")*AND(F54="√"),0.5*G54,IF((E54="√")*AND(F54&lt;&gt;"√"),0.5*H54,IF((E54&lt;&gt;"√")*AND(F54&lt;&gt;"√"),0.25*G54*H54))))))</f>
        <v/>
      </c>
      <c r="J54" s="189">
        <f>IF(I54="N/A","不适用",IF(I54=1,"符合",IF(I54=0,"不符合","部分符合")))</f>
        <v/>
      </c>
      <c r="K54" s="235" t="n"/>
      <c r="L54" s="235" t="n"/>
      <c r="M54" s="235" t="n"/>
      <c r="N54" s="219">
        <f>IF(I54="N/A","N/A",整体测评!O$21/M$44)</f>
        <v/>
      </c>
      <c r="O54" s="219">
        <f>IF(I54="N/A","N/A",I54*N54)</f>
        <v/>
      </c>
      <c r="P54" s="219">
        <f>IF(I54="N/A","N/A",N54-O54)</f>
        <v/>
      </c>
    </row>
    <row r="55" ht="25" customHeight="1">
      <c r="A55" s="280" t="n"/>
      <c r="B55" s="75" t="inlineStr">
        <is>
          <t>现金管理系统-预售房-业务数据</t>
        </is>
      </c>
      <c r="C55" s="169" t="inlineStr">
        <is>
          <t>适用</t>
        </is>
      </c>
      <c r="D55" s="169" t="inlineStr">
        <is>
          <t>×</t>
        </is>
      </c>
      <c r="E55" s="169" t="inlineStr">
        <is>
          <t>/</t>
        </is>
      </c>
      <c r="F55" s="169" t="inlineStr">
        <is>
          <t>/</t>
        </is>
      </c>
      <c r="G55" s="169" t="n">
        <v>1</v>
      </c>
      <c r="H55" s="169" t="n">
        <v>1</v>
      </c>
      <c r="I55" s="189">
        <f>IF(C55="不适用","N/A",IF(D55&lt;&gt;"√",0,IF((E55="√")*AND(F55="√"),1,IF((E55&lt;&gt;"√")*AND(F55="√"),0.5*G55,IF((E55="√")*AND(F55&lt;&gt;"√"),0.5*H55,IF((E55&lt;&gt;"√")*AND(F55&lt;&gt;"√"),0.25*G55*H55))))))</f>
        <v/>
      </c>
      <c r="J55" s="189">
        <f>IF(I55="N/A","不适用",IF(I55=1,"符合",IF(I55=0,"不符合","部分符合")))</f>
        <v/>
      </c>
      <c r="K55" s="235" t="n"/>
      <c r="L55" s="235" t="n"/>
      <c r="M55" s="235" t="n"/>
      <c r="N55" s="219">
        <f>IF(I55="N/A","N/A",整体测评!O$21/M$44)</f>
        <v/>
      </c>
      <c r="O55" s="219">
        <f>IF(I55="N/A","N/A",I55*N55)</f>
        <v/>
      </c>
      <c r="P55" s="219">
        <f>IF(I55="N/A","N/A",N55-O55)</f>
        <v/>
      </c>
    </row>
    <row r="56" ht="25" customHeight="1">
      <c r="A56" s="280" t="n"/>
      <c r="B56" s="75" t="inlineStr">
        <is>
          <t>新一代电子不停车收费系统业务数据</t>
        </is>
      </c>
      <c r="C56" s="169" t="inlineStr">
        <is>
          <t>适用</t>
        </is>
      </c>
      <c r="D56" s="169" t="inlineStr">
        <is>
          <t>×</t>
        </is>
      </c>
      <c r="E56" s="169" t="inlineStr">
        <is>
          <t>/</t>
        </is>
      </c>
      <c r="F56" s="169" t="inlineStr">
        <is>
          <t>/</t>
        </is>
      </c>
      <c r="G56" s="169" t="n">
        <v>1</v>
      </c>
      <c r="H56" s="169" t="n">
        <v>1</v>
      </c>
      <c r="I56" s="189">
        <f>IF(C56="不适用","N/A",IF(D56&lt;&gt;"√",0,IF((E56="√")*AND(F56="√"),1,IF((E56&lt;&gt;"√")*AND(F56="√"),0.5*G56,IF((E56="√")*AND(F56&lt;&gt;"√"),0.5*H56,IF((E56&lt;&gt;"√")*AND(F56&lt;&gt;"√"),0.25*G56*H56))))))</f>
        <v/>
      </c>
      <c r="J56" s="189">
        <f>IF(I56="N/A","不适用",IF(I56=1,"符合",IF(I56=0,"不符合","部分符合")))</f>
        <v/>
      </c>
      <c r="K56" s="235" t="n"/>
      <c r="L56" s="235" t="n"/>
      <c r="M56" s="235" t="n"/>
      <c r="N56" s="219">
        <f>IF(I56="N/A","N/A",整体测评!O$21/M$44)</f>
        <v/>
      </c>
      <c r="O56" s="219">
        <f>IF(I56="N/A","N/A",I56*N56)</f>
        <v/>
      </c>
      <c r="P56" s="219">
        <f>IF(I56="N/A","N/A",N56-O56)</f>
        <v/>
      </c>
    </row>
    <row r="57" ht="25" customHeight="1">
      <c r="A57" s="280" t="n"/>
      <c r="B57" s="75" t="inlineStr">
        <is>
          <t>区域客户服务系统-市场监督管理厅-业务数据</t>
        </is>
      </c>
      <c r="C57" s="169" t="inlineStr">
        <is>
          <t>适用</t>
        </is>
      </c>
      <c r="D57" s="169" t="inlineStr">
        <is>
          <t>×</t>
        </is>
      </c>
      <c r="E57" s="169" t="inlineStr">
        <is>
          <t>/</t>
        </is>
      </c>
      <c r="F57" s="169" t="inlineStr">
        <is>
          <t>/</t>
        </is>
      </c>
      <c r="G57" s="169" t="n">
        <v>1</v>
      </c>
      <c r="H57" s="169" t="n">
        <v>1</v>
      </c>
      <c r="I57" s="189">
        <f>IF(C57="不适用","N/A",IF(D57&lt;&gt;"√",0,IF((E57="√")*AND(F57="√"),1,IF((E57&lt;&gt;"√")*AND(F57="√"),0.5*G57,IF((E57="√")*AND(F57&lt;&gt;"√"),0.5*H57,IF((E57&lt;&gt;"√")*AND(F57&lt;&gt;"√"),0.25*G57*H57))))))</f>
        <v/>
      </c>
      <c r="J57" s="189">
        <f>IF(I57="N/A","不适用",IF(I57=1,"符合",IF(I57=0,"不符合","部分符合")))</f>
        <v/>
      </c>
      <c r="K57" s="235" t="n"/>
      <c r="L57" s="235" t="n"/>
      <c r="M57" s="235" t="n"/>
      <c r="N57" s="219">
        <f>IF(I57="N/A","N/A",整体测评!O$21/M$44)</f>
        <v/>
      </c>
      <c r="O57" s="219">
        <f>IF(I57="N/A","N/A",I57*N57)</f>
        <v/>
      </c>
      <c r="P57" s="219">
        <f>IF(I57="N/A","N/A",N57-O57)</f>
        <v/>
      </c>
    </row>
    <row r="58" ht="25" customHeight="1">
      <c r="A58" s="280" t="n"/>
      <c r="B58" s="75" t="inlineStr">
        <is>
          <t>区域客户服务系统-民政厅-业务数据</t>
        </is>
      </c>
      <c r="C58" s="169" t="inlineStr">
        <is>
          <t>适用</t>
        </is>
      </c>
      <c r="D58" s="169" t="inlineStr">
        <is>
          <t>×</t>
        </is>
      </c>
      <c r="E58" s="169" t="inlineStr">
        <is>
          <t>/</t>
        </is>
      </c>
      <c r="F58" s="169" t="inlineStr">
        <is>
          <t>/</t>
        </is>
      </c>
      <c r="G58" s="169" t="n">
        <v>1</v>
      </c>
      <c r="H58" s="169" t="n">
        <v>1</v>
      </c>
      <c r="I58" s="189">
        <f>IF(C58="不适用","N/A",IF(D58&lt;&gt;"√",0,IF((E58="√")*AND(F58="√"),1,IF((E58&lt;&gt;"√")*AND(F58="√"),0.5*G58,IF((E58="√")*AND(F58&lt;&gt;"√"),0.5*H58,IF((E58&lt;&gt;"√")*AND(F58&lt;&gt;"√"),0.25*G58*H58))))))</f>
        <v/>
      </c>
      <c r="J58" s="189">
        <f>IF(I58="N/A","不适用",IF(I58=1,"符合",IF(I58=0,"不符合","部分符合")))</f>
        <v/>
      </c>
      <c r="K58" s="235" t="n"/>
      <c r="L58" s="235" t="n"/>
      <c r="M58" s="235" t="n"/>
      <c r="N58" s="219">
        <f>IF(I58="N/A","N/A",整体测评!O$21/M$44)</f>
        <v/>
      </c>
      <c r="O58" s="219">
        <f>IF(I58="N/A","N/A",I58*N58)</f>
        <v/>
      </c>
      <c r="P58" s="219">
        <f>IF(I58="N/A","N/A",N58-O58)</f>
        <v/>
      </c>
    </row>
    <row r="59" ht="25" customHeight="1">
      <c r="A59" s="280" t="n"/>
      <c r="B59" s="75" t="inlineStr">
        <is>
          <t>区域客户服务系统-总行-业务数据</t>
        </is>
      </c>
      <c r="C59" s="169" t="inlineStr">
        <is>
          <t>适用</t>
        </is>
      </c>
      <c r="D59" s="169" t="inlineStr">
        <is>
          <t>×</t>
        </is>
      </c>
      <c r="E59" s="169" t="inlineStr">
        <is>
          <t>/</t>
        </is>
      </c>
      <c r="F59" s="169" t="inlineStr">
        <is>
          <t>/</t>
        </is>
      </c>
      <c r="G59" s="169" t="n">
        <v>1</v>
      </c>
      <c r="H59" s="169" t="n">
        <v>1</v>
      </c>
      <c r="I59" s="189">
        <f>IF(C59="不适用","N/A",IF(D59&lt;&gt;"√",0,IF((E59="√")*AND(F59="√"),1,IF((E59&lt;&gt;"√")*AND(F59="√"),0.5*G59,IF((E59="√")*AND(F59&lt;&gt;"√"),0.5*H59,IF((E59&lt;&gt;"√")*AND(F59&lt;&gt;"√"),0.25*G59*H59))))))</f>
        <v/>
      </c>
      <c r="J59" s="189">
        <f>IF(I59="N/A","不适用",IF(I59=1,"符合",IF(I59=0,"不符合","部分符合")))</f>
        <v/>
      </c>
      <c r="K59" s="235" t="n"/>
      <c r="L59" s="235" t="n"/>
      <c r="M59" s="235" t="n"/>
      <c r="N59" s="219">
        <f>IF(I59="N/A","N/A",整体测评!O$21/M$44)</f>
        <v/>
      </c>
      <c r="O59" s="219">
        <f>IF(I59="N/A","N/A",I59*N59)</f>
        <v/>
      </c>
      <c r="P59" s="219">
        <f>IF(I59="N/A","N/A",N59-O59)</f>
        <v/>
      </c>
    </row>
    <row r="60" ht="25" customHeight="1">
      <c r="A60" s="280" t="n"/>
      <c r="B60" s="75" t="inlineStr">
        <is>
          <t>智慧缴费系统-新南燃气-业务数据</t>
        </is>
      </c>
      <c r="C60" s="169" t="inlineStr">
        <is>
          <t>适用</t>
        </is>
      </c>
      <c r="D60" s="169" t="inlineStr">
        <is>
          <t>×</t>
        </is>
      </c>
      <c r="E60" s="169" t="inlineStr">
        <is>
          <t>/</t>
        </is>
      </c>
      <c r="F60" s="169" t="inlineStr">
        <is>
          <t>/</t>
        </is>
      </c>
      <c r="G60" s="169" t="n">
        <v>1</v>
      </c>
      <c r="H60" s="169" t="n">
        <v>1</v>
      </c>
      <c r="I60" s="189">
        <f>IF(C60="不适用","N/A",IF(D60&lt;&gt;"√",0,IF((E60="√")*AND(F60="√"),1,IF((E60&lt;&gt;"√")*AND(F60="√"),0.5*G60,IF((E60="√")*AND(F60&lt;&gt;"√"),0.5*H60,IF((E60&lt;&gt;"√")*AND(F60&lt;&gt;"√"),0.25*G60*H60))))))</f>
        <v/>
      </c>
      <c r="J60" s="189">
        <f>IF(I60="N/A","不适用",IF(I60=1,"符合",IF(I60=0,"不符合","部分符合")))</f>
        <v/>
      </c>
      <c r="K60" s="235" t="n"/>
      <c r="L60" s="235" t="n"/>
      <c r="M60" s="235" t="n"/>
      <c r="N60" s="219">
        <f>IF(I60="N/A","N/A",整体测评!O$21/M$44)</f>
        <v/>
      </c>
      <c r="O60" s="219">
        <f>IF(I60="N/A","N/A",I60*N60)</f>
        <v/>
      </c>
      <c r="P60" s="219">
        <f>IF(I60="N/A","N/A",N60-O60)</f>
        <v/>
      </c>
    </row>
    <row r="61" ht="40.5" customHeight="1">
      <c r="A61" s="278" t="n"/>
      <c r="B61" s="167" t="inlineStr">
        <is>
          <t>勿删</t>
        </is>
      </c>
      <c r="C61" s="168" t="inlineStr">
        <is>
          <t>不适用</t>
        </is>
      </c>
      <c r="D61" s="169" t="n"/>
      <c r="E61" s="169" t="n"/>
      <c r="F61" s="169" t="n"/>
      <c r="G61" s="169" t="n">
        <v>1</v>
      </c>
      <c r="H61" s="169" t="n">
        <v>1</v>
      </c>
      <c r="I61" s="189">
        <f>IF(C61="不适用","N/A",IF(D61&lt;&gt;"√",0,IF((E61="√")*AND(F61="√"),1,IF((E61&lt;&gt;"√")*AND(F61="√"),0.5*G61,IF((E61="√")*AND(F61&lt;&gt;"√"),0.5*H61,IF((E61&lt;&gt;"√")*AND(F61&lt;&gt;"√"),0.25*G61*H61))))))</f>
        <v/>
      </c>
      <c r="J61" s="189">
        <f>IF(I61="N/A","不适用",IF(I61=1,"符合",IF(I61=0,"不符合","部分符合")))</f>
        <v/>
      </c>
      <c r="K61" s="229" t="n"/>
      <c r="L61" s="229" t="n"/>
      <c r="M61" s="229" t="n"/>
      <c r="N61" s="219">
        <f>IF(I61="N/A","N/A",整体测评!O$21/M$44)</f>
        <v/>
      </c>
      <c r="O61" s="219">
        <f>IF(I61="N/A","N/A",I61*N61)</f>
        <v/>
      </c>
      <c r="P61" s="219">
        <f>IF(I61="N/A","N/A",N61-O61)</f>
        <v/>
      </c>
    </row>
    <row r="62" ht="40.3" customHeight="1">
      <c r="A62" s="220" t="inlineStr">
        <is>
          <t>重要数据传输完整性</t>
        </is>
      </c>
      <c r="B62" s="75" t="inlineStr">
        <is>
          <t>外部数据管理系统鉴别数据</t>
        </is>
      </c>
      <c r="C62" s="169" t="inlineStr">
        <is>
          <t>适用</t>
        </is>
      </c>
      <c r="D62" s="169" t="inlineStr">
        <is>
          <t>×</t>
        </is>
      </c>
      <c r="E62" s="169" t="inlineStr">
        <is>
          <t>/</t>
        </is>
      </c>
      <c r="F62" s="169" t="inlineStr">
        <is>
          <t>/</t>
        </is>
      </c>
      <c r="G62" s="169" t="n">
        <v>1</v>
      </c>
      <c r="H62" s="169" t="n">
        <v>1</v>
      </c>
      <c r="I62" s="189">
        <f>IF(C62="不适用","N/A",IF(D62&lt;&gt;"√",0,IF((E62="√")*AND(F62="√"),1,IF((E62&lt;&gt;"√")*AND(F62="√"),0.5*G62,IF((E62="√")*AND(F62&lt;&gt;"√"),0.5*H62,IF((E62&lt;&gt;"√")*AND(F62&lt;&gt;"√"),0.25*G62*H62))))))</f>
        <v/>
      </c>
      <c r="J62" s="189">
        <f>IF(I62="N/A","不适用",IF(I62=1,"符合",IF(I62=0,"不符合","部分符合")))</f>
        <v/>
      </c>
      <c r="K62" s="283">
        <f>IF(COUNTIF($I62:$I90,"N/A")=COUNTA($I62:$I90),"N/A",AVERAGE($I62:$I90))</f>
        <v/>
      </c>
      <c r="L62" s="218">
        <f>IF(K62="N/A","不适用",IF(K62=1,"符合",IF(K62=0,"不符合","部分符合")))</f>
        <v/>
      </c>
      <c r="M62" s="221">
        <f>(COUNTA($C62:$C90)-COUNTIF($C62:$C90,"不适用"))</f>
        <v/>
      </c>
      <c r="N62" s="219">
        <f>IF(I62="N/A","N/A",整体测评!O$22/M$62)</f>
        <v/>
      </c>
      <c r="O62" s="219">
        <f>IF(I62="N/A","N/A",I62*N62)</f>
        <v/>
      </c>
      <c r="P62" s="219">
        <f>IF(I62="N/A","N/A",N62-O62)</f>
        <v/>
      </c>
    </row>
    <row r="63" ht="40.3" customHeight="1">
      <c r="A63" s="280" t="n"/>
      <c r="B63" s="75" t="inlineStr">
        <is>
          <t>外部数据管理系统业务数据</t>
        </is>
      </c>
      <c r="C63" s="169" t="inlineStr">
        <is>
          <t>适用</t>
        </is>
      </c>
      <c r="D63" s="169" t="inlineStr">
        <is>
          <t>×</t>
        </is>
      </c>
      <c r="E63" s="169" t="inlineStr">
        <is>
          <t>/</t>
        </is>
      </c>
      <c r="F63" s="169" t="inlineStr">
        <is>
          <t>/</t>
        </is>
      </c>
      <c r="G63" s="169" t="n">
        <v>1</v>
      </c>
      <c r="H63" s="169" t="n">
        <v>1</v>
      </c>
      <c r="I63" s="189">
        <f>IF(C63="不适用","N/A",IF(D63&lt;&gt;"√",0,IF((E63="√")*AND(F63="√"),1,IF((E63&lt;&gt;"√")*AND(F63="√"),0.5*G63,IF((E63="√")*AND(F63&lt;&gt;"√"),0.5*H63,IF((E63&lt;&gt;"√")*AND(F63&lt;&gt;"√"),0.25*G63*H63))))))</f>
        <v/>
      </c>
      <c r="J63" s="189">
        <f>IF(I63="N/A","不适用",IF(I63=1,"符合",IF(I63=0,"不符合","部分符合")))</f>
        <v/>
      </c>
      <c r="K63" s="235" t="n"/>
      <c r="L63" s="235" t="n"/>
      <c r="M63" s="280" t="n"/>
      <c r="N63" s="219">
        <f>IF(I63="N/A","N/A",整体测评!O$22/M$62)</f>
        <v/>
      </c>
      <c r="O63" s="219">
        <f>IF(I63="N/A","N/A",I63*N63)</f>
        <v/>
      </c>
      <c r="P63" s="219">
        <f>IF(I63="N/A","N/A",N63-O63)</f>
        <v/>
      </c>
    </row>
    <row r="64" ht="40.3" customHeight="1">
      <c r="A64" s="280" t="n"/>
      <c r="B64" s="75" t="inlineStr">
        <is>
          <t>智慧社保系统业务数据</t>
        </is>
      </c>
      <c r="C64" s="169" t="inlineStr">
        <is>
          <t>适用</t>
        </is>
      </c>
      <c r="D64" s="169" t="inlineStr">
        <is>
          <t>√</t>
        </is>
      </c>
      <c r="E64" s="169" t="inlineStr">
        <is>
          <t>√</t>
        </is>
      </c>
      <c r="F64" s="169" t="inlineStr">
        <is>
          <t>√</t>
        </is>
      </c>
      <c r="G64" s="169" t="n">
        <v>1</v>
      </c>
      <c r="H64" s="169" t="n">
        <v>1</v>
      </c>
      <c r="I64" s="189">
        <f>IF(C64="不适用","N/A",IF(D64&lt;&gt;"√",0,IF((E64="√")*AND(F64="√"),1,IF((E64&lt;&gt;"√")*AND(F64="√"),0.5*G64,IF((E64="√")*AND(F64&lt;&gt;"√"),0.5*H64,IF((E64&lt;&gt;"√")*AND(F64&lt;&gt;"√"),0.25*G64*H64))))))</f>
        <v/>
      </c>
      <c r="J64" s="189">
        <f>IF(I64="N/A","不适用",IF(I64=1,"符合",IF(I64=0,"不符合","部分符合")))</f>
        <v/>
      </c>
      <c r="K64" s="235" t="n"/>
      <c r="L64" s="235" t="n"/>
      <c r="M64" s="280" t="n"/>
      <c r="N64" s="219">
        <f>IF(I64="N/A","N/A",整体测评!O$22/M$62)</f>
        <v/>
      </c>
      <c r="O64" s="219">
        <f>IF(I64="N/A","N/A",I64*N64)</f>
        <v/>
      </c>
      <c r="P64" s="219">
        <f>IF(I64="N/A","N/A",N64-O64)</f>
        <v/>
      </c>
    </row>
    <row r="65" ht="40.3" customHeight="1">
      <c r="A65" s="280" t="n"/>
      <c r="B65" s="75" t="inlineStr">
        <is>
          <t>个贷普惠系统业务数据</t>
        </is>
      </c>
      <c r="C65" s="169" t="inlineStr">
        <is>
          <t>适用</t>
        </is>
      </c>
      <c r="D65" s="169" t="inlineStr">
        <is>
          <t>√</t>
        </is>
      </c>
      <c r="E65" s="169" t="inlineStr">
        <is>
          <t>×</t>
        </is>
      </c>
      <c r="F65" s="169" t="inlineStr">
        <is>
          <t>×</t>
        </is>
      </c>
      <c r="G65" s="169" t="n">
        <v>1</v>
      </c>
      <c r="H65" s="169" t="n">
        <v>1</v>
      </c>
      <c r="I65" s="189">
        <f>IF(C65="不适用","N/A",IF(D65&lt;&gt;"√",0,IF((E65="√")*AND(F65="√"),1,IF((E65&lt;&gt;"√")*AND(F65="√"),0.5*G65,IF((E65="√")*AND(F65&lt;&gt;"√"),0.5*H65,IF((E65&lt;&gt;"√")*AND(F65&lt;&gt;"√"),0.25*G65*H65))))))</f>
        <v/>
      </c>
      <c r="J65" s="189">
        <f>IF(I65="N/A","不适用",IF(I65=1,"符合",IF(I65=0,"不符合","部分符合")))</f>
        <v/>
      </c>
      <c r="K65" s="235" t="n"/>
      <c r="L65" s="235" t="n"/>
      <c r="M65" s="280" t="n"/>
      <c r="N65" s="219">
        <f>IF(I65="N/A","N/A",整体测评!O$22/M$62)</f>
        <v/>
      </c>
      <c r="O65" s="219">
        <f>IF(I65="N/A","N/A",I65*N65)</f>
        <v/>
      </c>
      <c r="P65" s="219">
        <f>IF(I65="N/A","N/A",N65-O65)</f>
        <v/>
      </c>
    </row>
    <row r="66" ht="40.3" customHeight="1">
      <c r="A66" s="280" t="n"/>
      <c r="B66" s="75" t="inlineStr">
        <is>
          <t>代理财政集中收付系统业务数据</t>
        </is>
      </c>
      <c r="C66" s="169" t="inlineStr">
        <is>
          <t>适用</t>
        </is>
      </c>
      <c r="D66" s="169" t="inlineStr">
        <is>
          <t>×</t>
        </is>
      </c>
      <c r="E66" s="169" t="inlineStr">
        <is>
          <t>/</t>
        </is>
      </c>
      <c r="F66" s="169" t="inlineStr">
        <is>
          <t>/</t>
        </is>
      </c>
      <c r="G66" s="169" t="n">
        <v>1</v>
      </c>
      <c r="H66" s="169" t="n">
        <v>1</v>
      </c>
      <c r="I66" s="189">
        <f>IF(C66="不适用","N/A",IF(D66&lt;&gt;"√",0,IF((E66="√")*AND(F66="√"),1,IF((E66&lt;&gt;"√")*AND(F66="√"),0.5*G66,IF((E66="√")*AND(F66&lt;&gt;"√"),0.5*H66,IF((E66&lt;&gt;"√")*AND(F66&lt;&gt;"√"),0.25*G66*H66))))))</f>
        <v/>
      </c>
      <c r="J66" s="189">
        <f>IF(I66="N/A","不适用",IF(I66=1,"符合",IF(I66=0,"不符合","部分符合")))</f>
        <v/>
      </c>
      <c r="K66" s="235" t="n"/>
      <c r="L66" s="235" t="n"/>
      <c r="M66" s="280" t="n"/>
      <c r="N66" s="219">
        <f>IF(I66="N/A","N/A",整体测评!O$22/M$62)</f>
        <v/>
      </c>
      <c r="O66" s="219">
        <f>IF(I66="N/A","N/A",I66*N66)</f>
        <v/>
      </c>
      <c r="P66" s="219">
        <f>IF(I66="N/A","N/A",N66-O66)</f>
        <v/>
      </c>
    </row>
    <row r="67" ht="40.3" customHeight="1">
      <c r="A67" s="280" t="n"/>
      <c r="B67" s="75" t="inlineStr">
        <is>
          <t>智慧缴费系统-吴忠热-业务数据</t>
        </is>
      </c>
      <c r="C67" s="169" t="inlineStr">
        <is>
          <t>适用</t>
        </is>
      </c>
      <c r="D67" s="169" t="inlineStr">
        <is>
          <t>×</t>
        </is>
      </c>
      <c r="E67" s="169" t="inlineStr">
        <is>
          <t>/</t>
        </is>
      </c>
      <c r="F67" s="169" t="inlineStr">
        <is>
          <t>/</t>
        </is>
      </c>
      <c r="G67" s="169" t="n">
        <v>1</v>
      </c>
      <c r="H67" s="169" t="n">
        <v>1</v>
      </c>
      <c r="I67" s="189">
        <f>IF(C67="不适用","N/A",IF(D67&lt;&gt;"√",0,IF((E67="√")*AND(F67="√"),1,IF((E67&lt;&gt;"√")*AND(F67="√"),0.5*G67,IF((E67="√")*AND(F67&lt;&gt;"√"),0.5*H67,IF((E67&lt;&gt;"√")*AND(F67&lt;&gt;"√"),0.25*G67*H67))))))</f>
        <v/>
      </c>
      <c r="J67" s="189">
        <f>IF(I67="N/A","不适用",IF(I67=1,"符合",IF(I67=0,"不符合","部分符合")))</f>
        <v/>
      </c>
      <c r="K67" s="235" t="n"/>
      <c r="L67" s="235" t="n"/>
      <c r="M67" s="280" t="n"/>
      <c r="N67" s="219">
        <f>IF(I67="N/A","N/A",整体测评!O$22/M$62)</f>
        <v/>
      </c>
      <c r="O67" s="219">
        <f>IF(I67="N/A","N/A",I67*N67)</f>
        <v/>
      </c>
      <c r="P67" s="219">
        <f>IF(I67="N/A","N/A",N67-O67)</f>
        <v/>
      </c>
    </row>
    <row r="68" ht="40.3" customHeight="1">
      <c r="A68" s="280" t="n"/>
      <c r="B68" s="75" t="inlineStr">
        <is>
          <t>智慧缴费系统-吴忠水发-业务数据</t>
        </is>
      </c>
      <c r="C68" s="169" t="inlineStr">
        <is>
          <t>适用</t>
        </is>
      </c>
      <c r="D68" s="169" t="inlineStr">
        <is>
          <t>×</t>
        </is>
      </c>
      <c r="E68" s="169" t="inlineStr">
        <is>
          <t>/</t>
        </is>
      </c>
      <c r="F68" s="169" t="inlineStr">
        <is>
          <t>/</t>
        </is>
      </c>
      <c r="G68" s="169" t="n">
        <v>1</v>
      </c>
      <c r="H68" s="169" t="n">
        <v>1</v>
      </c>
      <c r="I68" s="189">
        <f>IF(C68="不适用","N/A",IF(D68&lt;&gt;"√",0,IF((E68="√")*AND(F68="√"),1,IF((E68&lt;&gt;"√")*AND(F68="√"),0.5*G68,IF((E68="√")*AND(F68&lt;&gt;"√"),0.5*H68,IF((E68&lt;&gt;"√")*AND(F68&lt;&gt;"√"),0.25*G68*H68))))))</f>
        <v/>
      </c>
      <c r="J68" s="189">
        <f>IF(I68="N/A","不适用",IF(I68=1,"符合",IF(I68=0,"不符合","部分符合")))</f>
        <v/>
      </c>
      <c r="K68" s="235" t="n"/>
      <c r="L68" s="235" t="n"/>
      <c r="M68" s="280" t="n"/>
      <c r="N68" s="219">
        <f>IF(I68="N/A","N/A",整体测评!O$22/M$62)</f>
        <v/>
      </c>
      <c r="O68" s="219">
        <f>IF(I68="N/A","N/A",I68*N68)</f>
        <v/>
      </c>
      <c r="P68" s="219">
        <f>IF(I68="N/A","N/A",N68-O68)</f>
        <v/>
      </c>
    </row>
    <row r="69" ht="40.3" customHeight="1">
      <c r="A69" s="280" t="n"/>
      <c r="B69" s="75" t="inlineStr">
        <is>
          <t>智慧缴费系统-高速-业务数据</t>
        </is>
      </c>
      <c r="C69" s="169" t="inlineStr">
        <is>
          <t>适用</t>
        </is>
      </c>
      <c r="D69" s="169" t="inlineStr">
        <is>
          <t>×</t>
        </is>
      </c>
      <c r="E69" s="169" t="inlineStr">
        <is>
          <t>/</t>
        </is>
      </c>
      <c r="F69" s="169" t="inlineStr">
        <is>
          <t>/</t>
        </is>
      </c>
      <c r="G69" s="169" t="n">
        <v>1</v>
      </c>
      <c r="H69" s="169" t="n">
        <v>1</v>
      </c>
      <c r="I69" s="189">
        <f>IF(C69="不适用","N/A",IF(D69&lt;&gt;"√",0,IF((E69="√")*AND(F69="√"),1,IF((E69&lt;&gt;"√")*AND(F69="√"),0.5*G69,IF((E69="√")*AND(F69&lt;&gt;"√"),0.5*H69,IF((E69&lt;&gt;"√")*AND(F69&lt;&gt;"√"),0.25*G69*H69))))))</f>
        <v/>
      </c>
      <c r="J69" s="189">
        <f>IF(I69="N/A","不适用",IF(I69=1,"符合",IF(I69=0,"不符合","部分符合")))</f>
        <v/>
      </c>
      <c r="K69" s="235" t="n"/>
      <c r="L69" s="235" t="n"/>
      <c r="M69" s="280" t="n"/>
      <c r="N69" s="219">
        <f>IF(I69="N/A","N/A",整体测评!O$22/M$62)</f>
        <v/>
      </c>
      <c r="O69" s="219">
        <f>IF(I69="N/A","N/A",I69*N69)</f>
        <v/>
      </c>
      <c r="P69" s="219">
        <f>IF(I69="N/A","N/A",N69-O69)</f>
        <v/>
      </c>
    </row>
    <row r="70" ht="40.3" customHeight="1">
      <c r="A70" s="280" t="n"/>
      <c r="B70" s="75" t="inlineStr">
        <is>
          <t>现金管理系统-国电-业务数据</t>
        </is>
      </c>
      <c r="C70" s="169" t="inlineStr">
        <is>
          <t>适用</t>
        </is>
      </c>
      <c r="D70" s="169" t="inlineStr">
        <is>
          <t>×</t>
        </is>
      </c>
      <c r="E70" s="169" t="inlineStr">
        <is>
          <t>/</t>
        </is>
      </c>
      <c r="F70" s="169" t="inlineStr">
        <is>
          <t>/</t>
        </is>
      </c>
      <c r="G70" s="169" t="n">
        <v>1</v>
      </c>
      <c r="H70" s="169" t="n">
        <v>1</v>
      </c>
      <c r="I70" s="189">
        <f>IF(C70="不适用","N/A",IF(D70&lt;&gt;"√",0,IF((E70="√")*AND(F70="√"),1,IF((E70&lt;&gt;"√")*AND(F70="√"),0.5*G70,IF((E70="√")*AND(F70&lt;&gt;"√"),0.5*H70,IF((E70&lt;&gt;"√")*AND(F70&lt;&gt;"√"),0.25*G70*H70))))))</f>
        <v/>
      </c>
      <c r="J70" s="189">
        <f>IF(I70="N/A","不适用",IF(I70=1,"符合",IF(I70=0,"不符合","部分符合")))</f>
        <v/>
      </c>
      <c r="K70" s="235" t="n"/>
      <c r="L70" s="235" t="n"/>
      <c r="M70" s="280" t="n"/>
      <c r="N70" s="219">
        <f>IF(I70="N/A","N/A",整体测评!O$22/M$62)</f>
        <v/>
      </c>
      <c r="O70" s="219">
        <f>IF(I70="N/A","N/A",I70*N70)</f>
        <v/>
      </c>
      <c r="P70" s="219">
        <f>IF(I70="N/A","N/A",N70-O70)</f>
        <v/>
      </c>
    </row>
    <row r="71" ht="40.3" customHeight="1">
      <c r="A71" s="280" t="n"/>
      <c r="B71" s="75" t="inlineStr">
        <is>
          <t>现金管理系统-监狱管理局-业务数据</t>
        </is>
      </c>
      <c r="C71" s="169" t="inlineStr">
        <is>
          <t>适用</t>
        </is>
      </c>
      <c r="D71" s="169" t="inlineStr">
        <is>
          <t>×</t>
        </is>
      </c>
      <c r="E71" s="169" t="inlineStr">
        <is>
          <t>/</t>
        </is>
      </c>
      <c r="F71" s="169" t="inlineStr">
        <is>
          <t>/</t>
        </is>
      </c>
      <c r="G71" s="169" t="n">
        <v>1</v>
      </c>
      <c r="H71" s="169" t="n">
        <v>1</v>
      </c>
      <c r="I71" s="189">
        <f>IF(C71="不适用","N/A",IF(D71&lt;&gt;"√",0,IF((E71="√")*AND(F71="√"),1,IF((E71&lt;&gt;"√")*AND(F71="√"),0.5*G71,IF((E71="√")*AND(F71&lt;&gt;"√"),0.5*H71,IF((E71&lt;&gt;"√")*AND(F71&lt;&gt;"√"),0.25*G71*H71))))))</f>
        <v/>
      </c>
      <c r="J71" s="189">
        <f>IF(I71="N/A","不适用",IF(I71=1,"符合",IF(I71=0,"不符合","部分符合")))</f>
        <v/>
      </c>
      <c r="K71" s="235" t="n"/>
      <c r="L71" s="235" t="n"/>
      <c r="M71" s="280" t="n"/>
      <c r="N71" s="219">
        <f>IF(I71="N/A","N/A",整体测评!O$22/M$62)</f>
        <v/>
      </c>
      <c r="O71" s="219">
        <f>IF(I71="N/A","N/A",I71*N71)</f>
        <v/>
      </c>
      <c r="P71" s="219">
        <f>IF(I71="N/A","N/A",N71-O71)</f>
        <v/>
      </c>
    </row>
    <row r="72" ht="40.3" customHeight="1">
      <c r="A72" s="280" t="n"/>
      <c r="B72" s="75" t="inlineStr">
        <is>
          <t>现金管理系统-烟草-业务数据</t>
        </is>
      </c>
      <c r="C72" s="169" t="inlineStr">
        <is>
          <t>适用</t>
        </is>
      </c>
      <c r="D72" s="169" t="inlineStr">
        <is>
          <t>×</t>
        </is>
      </c>
      <c r="E72" s="169" t="inlineStr">
        <is>
          <t>/</t>
        </is>
      </c>
      <c r="F72" s="169" t="inlineStr">
        <is>
          <t>/</t>
        </is>
      </c>
      <c r="G72" s="169" t="n">
        <v>1</v>
      </c>
      <c r="H72" s="169" t="n">
        <v>1</v>
      </c>
      <c r="I72" s="189">
        <f>IF(C72="不适用","N/A",IF(D72&lt;&gt;"√",0,IF((E72="√")*AND(F72="√"),1,IF((E72&lt;&gt;"√")*AND(F72="√"),0.5*G72,IF((E72="√")*AND(F72&lt;&gt;"√"),0.5*H72,IF((E72&lt;&gt;"√")*AND(F72&lt;&gt;"√"),0.25*G72*H72))))))</f>
        <v/>
      </c>
      <c r="J72" s="189">
        <f>IF(I72="N/A","不适用",IF(I72=1,"符合",IF(I72=0,"不符合","部分符合")))</f>
        <v/>
      </c>
      <c r="K72" s="235" t="n"/>
      <c r="L72" s="235" t="n"/>
      <c r="M72" s="280" t="n"/>
      <c r="N72" s="219">
        <f>IF(I72="N/A","N/A",整体测评!O$22/M$62)</f>
        <v/>
      </c>
      <c r="O72" s="219">
        <f>IF(I72="N/A","N/A",I72*N72)</f>
        <v/>
      </c>
      <c r="P72" s="219">
        <f>IF(I72="N/A","N/A",N72-O72)</f>
        <v/>
      </c>
    </row>
    <row r="73" ht="40.3" customHeight="1">
      <c r="A73" s="280" t="n"/>
      <c r="B73" s="75" t="inlineStr">
        <is>
          <t>现金管理系统-预售房-业务数据</t>
        </is>
      </c>
      <c r="C73" s="169" t="inlineStr">
        <is>
          <t>适用</t>
        </is>
      </c>
      <c r="D73" s="169" t="inlineStr">
        <is>
          <t>√</t>
        </is>
      </c>
      <c r="E73" s="169" t="inlineStr">
        <is>
          <t>√</t>
        </is>
      </c>
      <c r="F73" s="169" t="inlineStr">
        <is>
          <t>×</t>
        </is>
      </c>
      <c r="G73" s="169" t="n">
        <v>1</v>
      </c>
      <c r="H73" s="169" t="n">
        <v>1</v>
      </c>
      <c r="I73" s="189">
        <f>IF(C73="不适用","N/A",IF(D73&lt;&gt;"√",0,IF((E73="√")*AND(F73="√"),1,IF((E73&lt;&gt;"√")*AND(F73="√"),0.5*G73,IF((E73="√")*AND(F73&lt;&gt;"√"),0.5*H73,IF((E73&lt;&gt;"√")*AND(F73&lt;&gt;"√"),0.25*G73*H73))))))</f>
        <v/>
      </c>
      <c r="J73" s="189">
        <f>IF(I73="N/A","不适用",IF(I73=1,"符合",IF(I73=0,"不符合","部分符合")))</f>
        <v/>
      </c>
      <c r="K73" s="235" t="n"/>
      <c r="L73" s="235" t="n"/>
      <c r="M73" s="280" t="n"/>
      <c r="N73" s="219">
        <f>IF(I73="N/A","N/A",整体测评!O$22/M$62)</f>
        <v/>
      </c>
      <c r="O73" s="219">
        <f>IF(I73="N/A","N/A",I73*N73)</f>
        <v/>
      </c>
      <c r="P73" s="219">
        <f>IF(I73="N/A","N/A",N73-O73)</f>
        <v/>
      </c>
    </row>
    <row r="74" ht="40.3" customHeight="1">
      <c r="A74" s="280" t="n"/>
      <c r="B74" s="75" t="inlineStr">
        <is>
          <t>新一代电子不停车收费系统业务数据</t>
        </is>
      </c>
      <c r="C74" s="169" t="inlineStr">
        <is>
          <t>适用</t>
        </is>
      </c>
      <c r="D74" s="169" t="inlineStr">
        <is>
          <t>×</t>
        </is>
      </c>
      <c r="E74" s="169" t="inlineStr">
        <is>
          <t>/</t>
        </is>
      </c>
      <c r="F74" s="169" t="inlineStr">
        <is>
          <t>/</t>
        </is>
      </c>
      <c r="G74" s="169" t="n">
        <v>1</v>
      </c>
      <c r="H74" s="169" t="n">
        <v>1</v>
      </c>
      <c r="I74" s="189">
        <f>IF(C74="不适用","N/A",IF(D74&lt;&gt;"√",0,IF((E74="√")*AND(F74="√"),1,IF((E74&lt;&gt;"√")*AND(F74="√"),0.5*G74,IF((E74="√")*AND(F74&lt;&gt;"√"),0.5*H74,IF((E74&lt;&gt;"√")*AND(F74&lt;&gt;"√"),0.25*G74*H74))))))</f>
        <v/>
      </c>
      <c r="J74" s="189">
        <f>IF(I74="N/A","不适用",IF(I74=1,"符合",IF(I74=0,"不符合","部分符合")))</f>
        <v/>
      </c>
      <c r="K74" s="235" t="n"/>
      <c r="L74" s="235" t="n"/>
      <c r="M74" s="280" t="n"/>
      <c r="N74" s="219">
        <f>IF(I74="N/A","N/A",整体测评!O$22/M$62)</f>
        <v/>
      </c>
      <c r="O74" s="219">
        <f>IF(I74="N/A","N/A",I74*N74)</f>
        <v/>
      </c>
      <c r="P74" s="219">
        <f>IF(I74="N/A","N/A",N74-O74)</f>
        <v/>
      </c>
    </row>
    <row r="75" ht="40.3" customHeight="1">
      <c r="A75" s="280" t="n"/>
      <c r="B75" s="75" t="inlineStr">
        <is>
          <t>代收付系统-医保厅-业务数据</t>
        </is>
      </c>
      <c r="C75" s="169" t="inlineStr">
        <is>
          <t>适用</t>
        </is>
      </c>
      <c r="D75" s="169" t="inlineStr">
        <is>
          <t>×</t>
        </is>
      </c>
      <c r="E75" s="169" t="inlineStr">
        <is>
          <t>/</t>
        </is>
      </c>
      <c r="F75" s="169" t="inlineStr">
        <is>
          <t>/</t>
        </is>
      </c>
      <c r="G75" s="169" t="n">
        <v>1</v>
      </c>
      <c r="H75" s="169" t="n">
        <v>1</v>
      </c>
      <c r="I75" s="189">
        <f>IF(C75="不适用","N/A",IF(D75&lt;&gt;"√",0,IF((E75="√")*AND(F75="√"),1,IF((E75&lt;&gt;"√")*AND(F75="√"),0.5*G75,IF((E75="√")*AND(F75&lt;&gt;"√"),0.5*H75,IF((E75&lt;&gt;"√")*AND(F75&lt;&gt;"√"),0.25*G75*H75))))))</f>
        <v/>
      </c>
      <c r="J75" s="189">
        <f>IF(I75="N/A","不适用",IF(I75=1,"符合",IF(I75=0,"不符合","部分符合")))</f>
        <v/>
      </c>
      <c r="K75" s="235" t="n"/>
      <c r="L75" s="235" t="n"/>
      <c r="M75" s="280" t="n"/>
      <c r="N75" s="219">
        <f>IF(I75="N/A","N/A",整体测评!O$22/M$62)</f>
        <v/>
      </c>
      <c r="O75" s="219">
        <f>IF(I75="N/A","N/A",I75*N75)</f>
        <v/>
      </c>
      <c r="P75" s="219">
        <f>IF(I75="N/A","N/A",N75-O75)</f>
        <v/>
      </c>
    </row>
    <row r="76" ht="40.3" customHeight="1">
      <c r="A76" s="280" t="n"/>
      <c r="B76" s="75" t="inlineStr">
        <is>
          <t>代收付系统-学校-业务数据</t>
        </is>
      </c>
      <c r="C76" s="169" t="inlineStr">
        <is>
          <t>适用</t>
        </is>
      </c>
      <c r="D76" s="169" t="inlineStr">
        <is>
          <t>×</t>
        </is>
      </c>
      <c r="E76" s="169" t="inlineStr">
        <is>
          <t>/</t>
        </is>
      </c>
      <c r="F76" s="169" t="inlineStr">
        <is>
          <t>/</t>
        </is>
      </c>
      <c r="G76" s="169" t="n">
        <v>1</v>
      </c>
      <c r="H76" s="169" t="n">
        <v>1</v>
      </c>
      <c r="I76" s="189">
        <f>IF(C76="不适用","N/A",IF(D76&lt;&gt;"√",0,IF((E76="√")*AND(F76="√"),1,IF((E76&lt;&gt;"√")*AND(F76="√"),0.5*G76,IF((E76="√")*AND(F76&lt;&gt;"√"),0.5*H76,IF((E76&lt;&gt;"√")*AND(F76&lt;&gt;"√"),0.25*G76*H76))))))</f>
        <v/>
      </c>
      <c r="J76" s="189">
        <f>IF(I76="N/A","不适用",IF(I76=1,"符合",IF(I76=0,"不符合","部分符合")))</f>
        <v/>
      </c>
      <c r="K76" s="235" t="n"/>
      <c r="L76" s="235" t="n"/>
      <c r="M76" s="280" t="n"/>
      <c r="N76" s="219">
        <f>IF(I76="N/A","N/A",整体测评!O$22/M$62)</f>
        <v/>
      </c>
      <c r="O76" s="219">
        <f>IF(I76="N/A","N/A",I76*N76)</f>
        <v/>
      </c>
      <c r="P76" s="219">
        <f>IF(I76="N/A","N/A",N76-O76)</f>
        <v/>
      </c>
    </row>
    <row r="77" ht="40.3" customHeight="1">
      <c r="A77" s="280" t="n"/>
      <c r="B77" s="75" t="inlineStr">
        <is>
          <t>代收付系统-银川市物业服务中心-业务数据</t>
        </is>
      </c>
      <c r="C77" s="169" t="inlineStr">
        <is>
          <t>适用</t>
        </is>
      </c>
      <c r="D77" s="169" t="inlineStr">
        <is>
          <t>√</t>
        </is>
      </c>
      <c r="E77" s="169" t="inlineStr">
        <is>
          <t>√</t>
        </is>
      </c>
      <c r="F77" s="169" t="inlineStr">
        <is>
          <t>×</t>
        </is>
      </c>
      <c r="G77" s="169" t="n">
        <v>1</v>
      </c>
      <c r="H77" s="169" t="n">
        <v>1</v>
      </c>
      <c r="I77" s="189">
        <f>IF(C77="不适用","N/A",IF(D77&lt;&gt;"√",0,IF((E77="√")*AND(F77="√"),1,IF((E77&lt;&gt;"√")*AND(F77="√"),0.5*G77,IF((E77="√")*AND(F77&lt;&gt;"√"),0.5*H77,IF((E77&lt;&gt;"√")*AND(F77&lt;&gt;"√"),0.25*G77*H77))))))</f>
        <v/>
      </c>
      <c r="J77" s="189">
        <f>IF(I77="N/A","不适用",IF(I77=1,"符合",IF(I77=0,"不符合","部分符合")))</f>
        <v/>
      </c>
      <c r="K77" s="235" t="n"/>
      <c r="L77" s="235" t="n"/>
      <c r="M77" s="280" t="n"/>
      <c r="N77" s="219">
        <f>IF(I77="N/A","N/A",整体测评!O$22/M$62)</f>
        <v/>
      </c>
      <c r="O77" s="219">
        <f>IF(I77="N/A","N/A",I77*N77)</f>
        <v/>
      </c>
      <c r="P77" s="219">
        <f>IF(I77="N/A","N/A",N77-O77)</f>
        <v/>
      </c>
    </row>
    <row r="78" ht="40.3" customHeight="1">
      <c r="A78" s="280" t="n"/>
      <c r="B78" s="75" t="inlineStr">
        <is>
          <t>代收付系统-宁夏自治区财政厅-业务数据</t>
        </is>
      </c>
      <c r="C78" s="169" t="inlineStr">
        <is>
          <t>适用</t>
        </is>
      </c>
      <c r="D78" s="169" t="inlineStr">
        <is>
          <t>√</t>
        </is>
      </c>
      <c r="E78" s="169" t="inlineStr">
        <is>
          <t>√</t>
        </is>
      </c>
      <c r="F78" s="169" t="inlineStr">
        <is>
          <t>×</t>
        </is>
      </c>
      <c r="G78" s="169" t="n">
        <v>1</v>
      </c>
      <c r="H78" s="169" t="n">
        <v>1</v>
      </c>
      <c r="I78" s="189">
        <f>IF(C78="不适用","N/A",IF(D78&lt;&gt;"√",0,IF((E78="√")*AND(F78="√"),1,IF((E78&lt;&gt;"√")*AND(F78="√"),0.5*G78,IF((E78="√")*AND(F78&lt;&gt;"√"),0.5*H78,IF((E78&lt;&gt;"√")*AND(F78&lt;&gt;"√"),0.25*G78*H78))))))</f>
        <v/>
      </c>
      <c r="J78" s="189">
        <f>IF(I78="N/A","不适用",IF(I78=1,"符合",IF(I78=0,"不符合","部分符合")))</f>
        <v/>
      </c>
      <c r="K78" s="235" t="n"/>
      <c r="L78" s="235" t="n"/>
      <c r="M78" s="280" t="n"/>
      <c r="N78" s="219">
        <f>IF(I78="N/A","N/A",整体测评!O$22/M$62)</f>
        <v/>
      </c>
      <c r="O78" s="219">
        <f>IF(I78="N/A","N/A",I78*N78)</f>
        <v/>
      </c>
      <c r="P78" s="219">
        <f>IF(I78="N/A","N/A",N78-O78)</f>
        <v/>
      </c>
    </row>
    <row r="79" ht="40.3" customHeight="1">
      <c r="A79" s="280" t="n"/>
      <c r="B79" s="75" t="inlineStr">
        <is>
          <t>分行智能管理系统-业务数据</t>
        </is>
      </c>
      <c r="C79" s="169" t="inlineStr">
        <is>
          <t>适用</t>
        </is>
      </c>
      <c r="D79" s="169" t="inlineStr">
        <is>
          <t>×</t>
        </is>
      </c>
      <c r="E79" s="169" t="inlineStr">
        <is>
          <t>/</t>
        </is>
      </c>
      <c r="F79" s="169" t="inlineStr">
        <is>
          <t>/</t>
        </is>
      </c>
      <c r="G79" s="169" t="n">
        <v>1</v>
      </c>
      <c r="H79" s="169" t="n">
        <v>1</v>
      </c>
      <c r="I79" s="189">
        <f>IF(C79="不适用","N/A",IF(D79&lt;&gt;"√",0,IF((E79="√")*AND(F79="√"),1,IF((E79&lt;&gt;"√")*AND(F79="√"),0.5*G79,IF((E79="√")*AND(F79&lt;&gt;"√"),0.5*H79,IF((E79&lt;&gt;"√")*AND(F79&lt;&gt;"√"),0.25*G79*H79))))))</f>
        <v/>
      </c>
      <c r="J79" s="189">
        <f>IF(I79="N/A","不适用",IF(I79=1,"符合",IF(I79=0,"不符合","部分符合")))</f>
        <v/>
      </c>
      <c r="K79" s="235" t="n"/>
      <c r="L79" s="235" t="n"/>
      <c r="M79" s="280" t="n"/>
      <c r="N79" s="219">
        <f>IF(I79="N/A","N/A",整体测评!O$22/M$62)</f>
        <v/>
      </c>
      <c r="O79" s="219">
        <f>IF(I79="N/A","N/A",I79*N79)</f>
        <v/>
      </c>
      <c r="P79" s="219">
        <f>IF(I79="N/A","N/A",N79-O79)</f>
        <v/>
      </c>
    </row>
    <row r="80" ht="40.3" customHeight="1">
      <c r="A80" s="280" t="n"/>
      <c r="B80" s="75" t="inlineStr">
        <is>
          <t>区域客户服务系统-医院-业务数据</t>
        </is>
      </c>
      <c r="C80" s="169" t="inlineStr">
        <is>
          <t>适用</t>
        </is>
      </c>
      <c r="D80" s="169" t="inlineStr">
        <is>
          <t>×</t>
        </is>
      </c>
      <c r="E80" s="169" t="inlineStr">
        <is>
          <t>/</t>
        </is>
      </c>
      <c r="F80" s="169" t="inlineStr">
        <is>
          <t>/</t>
        </is>
      </c>
      <c r="G80" s="169" t="n">
        <v>1</v>
      </c>
      <c r="H80" s="169" t="n">
        <v>1</v>
      </c>
      <c r="I80" s="189">
        <f>IF(C80="不适用","N/A",IF(D80&lt;&gt;"√",0,IF((E80="√")*AND(F80="√"),1,IF((E80&lt;&gt;"√")*AND(F80="√"),0.5*G80,IF((E80="√")*AND(F80&lt;&gt;"√"),0.5*H80,IF((E80&lt;&gt;"√")*AND(F80&lt;&gt;"√"),0.25*G80*H80))))))</f>
        <v/>
      </c>
      <c r="J80" s="189">
        <f>IF(I80="N/A","不适用",IF(I80=1,"符合",IF(I80=0,"不符合","部分符合")))</f>
        <v/>
      </c>
      <c r="K80" s="235" t="n"/>
      <c r="L80" s="235" t="n"/>
      <c r="M80" s="280" t="n"/>
      <c r="N80" s="219">
        <f>IF(I80="N/A","N/A",整体测评!O$22/M$62)</f>
        <v/>
      </c>
      <c r="O80" s="219">
        <f>IF(I80="N/A","N/A",I80*N80)</f>
        <v/>
      </c>
      <c r="P80" s="219">
        <f>IF(I80="N/A","N/A",N80-O80)</f>
        <v/>
      </c>
    </row>
    <row r="81" ht="40.3" customHeight="1">
      <c r="A81" s="280" t="n"/>
      <c r="B81" s="75" t="inlineStr">
        <is>
          <t>区域客户服务系统-市场监督管理厅-业务数据</t>
        </is>
      </c>
      <c r="C81" s="169" t="inlineStr">
        <is>
          <t>适用</t>
        </is>
      </c>
      <c r="D81" s="169" t="inlineStr">
        <is>
          <t>×</t>
        </is>
      </c>
      <c r="E81" s="169" t="inlineStr">
        <is>
          <t>/</t>
        </is>
      </c>
      <c r="F81" s="169" t="inlineStr">
        <is>
          <t>/</t>
        </is>
      </c>
      <c r="G81" s="169" t="n">
        <v>1</v>
      </c>
      <c r="H81" s="169" t="n">
        <v>1</v>
      </c>
      <c r="I81" s="189">
        <f>IF(C81="不适用","N/A",IF(D81&lt;&gt;"√",0,IF((E81="√")*AND(F81="√"),1,IF((E81&lt;&gt;"√")*AND(F81="√"),0.5*G81,IF((E81="√")*AND(F81&lt;&gt;"√"),0.5*H81,IF((E81&lt;&gt;"√")*AND(F81&lt;&gt;"√"),0.25*G81*H81))))))</f>
        <v/>
      </c>
      <c r="J81" s="189">
        <f>IF(I81="N/A","不适用",IF(I81=1,"符合",IF(I81=0,"不符合","部分符合")))</f>
        <v/>
      </c>
      <c r="K81" s="235" t="n"/>
      <c r="L81" s="235" t="n"/>
      <c r="M81" s="280" t="n"/>
      <c r="N81" s="219">
        <f>IF(I81="N/A","N/A",整体测评!O$22/M$62)</f>
        <v/>
      </c>
      <c r="O81" s="219">
        <f>IF(I81="N/A","N/A",I81*N81)</f>
        <v/>
      </c>
      <c r="P81" s="219">
        <f>IF(I81="N/A","N/A",N81-O81)</f>
        <v/>
      </c>
    </row>
    <row r="82" ht="40.3" customHeight="1">
      <c r="A82" s="280" t="n"/>
      <c r="B82" s="75" t="inlineStr">
        <is>
          <t>区域客户服务系统-民政厅-业务数据</t>
        </is>
      </c>
      <c r="C82" s="169" t="inlineStr">
        <is>
          <t>适用</t>
        </is>
      </c>
      <c r="D82" s="169" t="inlineStr">
        <is>
          <t>×</t>
        </is>
      </c>
      <c r="E82" s="169" t="inlineStr">
        <is>
          <t>/</t>
        </is>
      </c>
      <c r="F82" s="169" t="inlineStr">
        <is>
          <t>/</t>
        </is>
      </c>
      <c r="G82" s="169" t="n">
        <v>1</v>
      </c>
      <c r="H82" s="169" t="n">
        <v>1</v>
      </c>
      <c r="I82" s="189">
        <f>IF(C82="不适用","N/A",IF(D82&lt;&gt;"√",0,IF((E82="√")*AND(F82="√"),1,IF((E82&lt;&gt;"√")*AND(F82="√"),0.5*G82,IF((E82="√")*AND(F82&lt;&gt;"√"),0.5*H82,IF((E82&lt;&gt;"√")*AND(F82&lt;&gt;"√"),0.25*G82*H82))))))</f>
        <v/>
      </c>
      <c r="J82" s="189">
        <f>IF(I82="N/A","不适用",IF(I82=1,"符合",IF(I82=0,"不符合","部分符合")))</f>
        <v/>
      </c>
      <c r="K82" s="235" t="n"/>
      <c r="L82" s="235" t="n"/>
      <c r="M82" s="280" t="n"/>
      <c r="N82" s="219">
        <f>IF(I82="N/A","N/A",整体测评!O$22/M$62)</f>
        <v/>
      </c>
      <c r="O82" s="219">
        <f>IF(I82="N/A","N/A",I82*N82)</f>
        <v/>
      </c>
      <c r="P82" s="219">
        <f>IF(I82="N/A","N/A",N82-O82)</f>
        <v/>
      </c>
    </row>
    <row r="83" ht="40.3" customHeight="1">
      <c r="A83" s="280" t="n"/>
      <c r="B83" s="75" t="inlineStr">
        <is>
          <t>区域客户服务系统-总行-业务数据</t>
        </is>
      </c>
      <c r="C83" s="169" t="inlineStr">
        <is>
          <t>适用</t>
        </is>
      </c>
      <c r="D83" s="169" t="inlineStr">
        <is>
          <t>×</t>
        </is>
      </c>
      <c r="E83" s="169" t="inlineStr">
        <is>
          <t>/</t>
        </is>
      </c>
      <c r="F83" s="169" t="inlineStr">
        <is>
          <t>/</t>
        </is>
      </c>
      <c r="G83" s="169" t="n">
        <v>1</v>
      </c>
      <c r="H83" s="169" t="n">
        <v>1</v>
      </c>
      <c r="I83" s="189">
        <f>IF(C83="不适用","N/A",IF(D83&lt;&gt;"√",0,IF((E83="√")*AND(F83="√"),1,IF((E83&lt;&gt;"√")*AND(F83="√"),0.5*G83,IF((E83="√")*AND(F83&lt;&gt;"√"),0.5*H83,IF((E83&lt;&gt;"√")*AND(F83&lt;&gt;"√"),0.25*G83*H83))))))</f>
        <v/>
      </c>
      <c r="J83" s="189">
        <f>IF(I83="N/A","不适用",IF(I83=1,"符合",IF(I83=0,"不符合","部分符合")))</f>
        <v/>
      </c>
      <c r="K83" s="235" t="n"/>
      <c r="L83" s="235" t="n"/>
      <c r="M83" s="280" t="n"/>
      <c r="N83" s="219">
        <f>IF(I83="N/A","N/A",整体测评!O$22/M$62)</f>
        <v/>
      </c>
      <c r="O83" s="219">
        <f>IF(I83="N/A","N/A",I83*N83)</f>
        <v/>
      </c>
      <c r="P83" s="219">
        <f>IF(I83="N/A","N/A",N83-O83)</f>
        <v/>
      </c>
    </row>
    <row r="84" ht="40.3" customHeight="1">
      <c r="A84" s="280" t="n"/>
      <c r="B84" s="75" t="inlineStr">
        <is>
          <t>区域客户服务系统-燕宝基金会-业务数据</t>
        </is>
      </c>
      <c r="C84" s="169" t="inlineStr">
        <is>
          <t>适用</t>
        </is>
      </c>
      <c r="D84" s="169" t="inlineStr">
        <is>
          <t>×</t>
        </is>
      </c>
      <c r="E84" s="169" t="inlineStr">
        <is>
          <t>/</t>
        </is>
      </c>
      <c r="F84" s="169" t="inlineStr">
        <is>
          <t>/</t>
        </is>
      </c>
      <c r="G84" s="169" t="n">
        <v>1</v>
      </c>
      <c r="H84" s="169" t="n">
        <v>1</v>
      </c>
      <c r="I84" s="189">
        <f>IF(C84="不适用","N/A",IF(D84&lt;&gt;"√",0,IF((E84="√")*AND(F84="√"),1,IF((E84&lt;&gt;"√")*AND(F84="√"),0.5*G84,IF((E84="√")*AND(F84&lt;&gt;"√"),0.5*H84,IF((E84&lt;&gt;"√")*AND(F84&lt;&gt;"√"),0.25*G84*H84))))))</f>
        <v/>
      </c>
      <c r="J84" s="189">
        <f>IF(I84="N/A","不适用",IF(I84=1,"符合",IF(I84=0,"不符合","部分符合")))</f>
        <v/>
      </c>
      <c r="K84" s="235" t="n"/>
      <c r="L84" s="235" t="n"/>
      <c r="M84" s="280" t="n"/>
      <c r="N84" s="219">
        <f>IF(I84="N/A","N/A",整体测评!O$22/M$62)</f>
        <v/>
      </c>
      <c r="O84" s="219">
        <f>IF(I84="N/A","N/A",I84*N84)</f>
        <v/>
      </c>
      <c r="P84" s="219">
        <f>IF(I84="N/A","N/A",N84-O84)</f>
        <v/>
      </c>
    </row>
    <row r="85" ht="40.3" customHeight="1">
      <c r="A85" s="280" t="n"/>
      <c r="B85" s="75" t="inlineStr">
        <is>
          <t>区域客户服务系统-银保信-业务数据</t>
        </is>
      </c>
      <c r="C85" s="169" t="inlineStr">
        <is>
          <t>适用</t>
        </is>
      </c>
      <c r="D85" s="169" t="inlineStr">
        <is>
          <t>×</t>
        </is>
      </c>
      <c r="E85" s="169" t="inlineStr">
        <is>
          <t>/</t>
        </is>
      </c>
      <c r="F85" s="169" t="inlineStr">
        <is>
          <t>/</t>
        </is>
      </c>
      <c r="G85" s="169" t="n">
        <v>1</v>
      </c>
      <c r="H85" s="169" t="n">
        <v>1</v>
      </c>
      <c r="I85" s="189">
        <f>IF(C85="不适用","N/A",IF(D85&lt;&gt;"√",0,IF((E85="√")*AND(F85="√"),1,IF((E85&lt;&gt;"√")*AND(F85="√"),0.5*G85,IF((E85="√")*AND(F85&lt;&gt;"√"),0.5*H85,IF((E85&lt;&gt;"√")*AND(F85&lt;&gt;"√"),0.25*G85*H85))))))</f>
        <v/>
      </c>
      <c r="J85" s="189">
        <f>IF(I85="N/A","不适用",IF(I85=1,"符合",IF(I85=0,"不符合","部分符合")))</f>
        <v/>
      </c>
      <c r="K85" s="235" t="n"/>
      <c r="L85" s="235" t="n"/>
      <c r="M85" s="280" t="n"/>
      <c r="N85" s="219">
        <f>IF(I85="N/A","N/A",整体测评!O$22/M$62)</f>
        <v/>
      </c>
      <c r="O85" s="219">
        <f>IF(I85="N/A","N/A",I85*N85)</f>
        <v/>
      </c>
      <c r="P85" s="219">
        <f>IF(I85="N/A","N/A",N85-O85)</f>
        <v/>
      </c>
    </row>
    <row r="86" ht="40.3" customHeight="1">
      <c r="A86" s="280" t="n"/>
      <c r="B86" s="75" t="inlineStr">
        <is>
          <t>区域客户服务系统-金惠-业务数据</t>
        </is>
      </c>
      <c r="C86" s="169" t="inlineStr">
        <is>
          <t>适用</t>
        </is>
      </c>
      <c r="D86" s="169" t="inlineStr">
        <is>
          <t>×</t>
        </is>
      </c>
      <c r="E86" s="169" t="inlineStr">
        <is>
          <t>/</t>
        </is>
      </c>
      <c r="F86" s="169" t="inlineStr">
        <is>
          <t>/</t>
        </is>
      </c>
      <c r="G86" s="169" t="n">
        <v>1</v>
      </c>
      <c r="H86" s="169" t="n">
        <v>1</v>
      </c>
      <c r="I86" s="189">
        <f>IF(C86="不适用","N/A",IF(D86&lt;&gt;"√",0,IF((E86="√")*AND(F86="√"),1,IF((E86&lt;&gt;"√")*AND(F86="√"),0.5*G86,IF((E86="√")*AND(F86&lt;&gt;"√"),0.5*H86,IF((E86&lt;&gt;"√")*AND(F86&lt;&gt;"√"),0.25*G86*H86))))))</f>
        <v/>
      </c>
      <c r="J86" s="189">
        <f>IF(I86="N/A","不适用",IF(I86=1,"符合",IF(I86=0,"不符合","部分符合")))</f>
        <v/>
      </c>
      <c r="K86" s="235" t="n"/>
      <c r="L86" s="235" t="n"/>
      <c r="M86" s="280" t="n"/>
      <c r="N86" s="219">
        <f>IF(I86="N/A","N/A",整体测评!O$22/M$62)</f>
        <v/>
      </c>
      <c r="O86" s="219">
        <f>IF(I86="N/A","N/A",I86*N86)</f>
        <v/>
      </c>
      <c r="P86" s="219">
        <f>IF(I86="N/A","N/A",N86-O86)</f>
        <v/>
      </c>
    </row>
    <row r="87" ht="40.3" customHeight="1">
      <c r="A87" s="280" t="n"/>
      <c r="B87" s="75" t="inlineStr">
        <is>
          <t>穿山甲平台-用户登录口令</t>
        </is>
      </c>
      <c r="C87" s="169" t="inlineStr">
        <is>
          <t>适用</t>
        </is>
      </c>
      <c r="D87" s="169" t="inlineStr">
        <is>
          <t>×</t>
        </is>
      </c>
      <c r="E87" s="169" t="inlineStr">
        <is>
          <t>/</t>
        </is>
      </c>
      <c r="F87" s="169" t="inlineStr">
        <is>
          <t>/</t>
        </is>
      </c>
      <c r="G87" s="169" t="n">
        <v>1</v>
      </c>
      <c r="H87" s="169" t="n">
        <v>1</v>
      </c>
      <c r="I87" s="189">
        <f>IF(C87="不适用","N/A",IF(D87&lt;&gt;"√",0,IF((E87="√")*AND(F87="√"),1,IF((E87&lt;&gt;"√")*AND(F87="√"),0.5*G87,IF((E87="√")*AND(F87&lt;&gt;"√"),0.5*H87,IF((E87&lt;&gt;"√")*AND(F87&lt;&gt;"√"),0.25*G87*H87))))))</f>
        <v/>
      </c>
      <c r="J87" s="189">
        <f>IF(I87="N/A","不适用",IF(I87=1,"符合",IF(I87=0,"不符合","部分符合")))</f>
        <v/>
      </c>
      <c r="K87" s="235" t="n"/>
      <c r="L87" s="235" t="n"/>
      <c r="M87" s="280" t="n"/>
      <c r="N87" s="219">
        <f>IF(I87="N/A","N/A",整体测评!O$22/M$62)</f>
        <v/>
      </c>
      <c r="O87" s="219">
        <f>IF(I87="N/A","N/A",I87*N87)</f>
        <v/>
      </c>
      <c r="P87" s="219">
        <f>IF(I87="N/A","N/A",N87-O87)</f>
        <v/>
      </c>
    </row>
    <row r="88" ht="40.3" customHeight="1">
      <c r="A88" s="280" t="n"/>
      <c r="B88" s="75" t="inlineStr">
        <is>
          <t>智慧缴费系统-新南燃气-业务数据</t>
        </is>
      </c>
      <c r="C88" s="169" t="inlineStr">
        <is>
          <t>适用</t>
        </is>
      </c>
      <c r="D88" s="169" t="inlineStr">
        <is>
          <t>×</t>
        </is>
      </c>
      <c r="E88" s="169" t="inlineStr">
        <is>
          <t>/</t>
        </is>
      </c>
      <c r="F88" s="169" t="inlineStr">
        <is>
          <t>/</t>
        </is>
      </c>
      <c r="G88" s="169" t="n">
        <v>1</v>
      </c>
      <c r="H88" s="169" t="n">
        <v>1</v>
      </c>
      <c r="I88" s="189">
        <f>IF(C88="不适用","N/A",IF(D88&lt;&gt;"√",0,IF((E88="√")*AND(F88="√"),1,IF((E88&lt;&gt;"√")*AND(F88="√"),0.5*G88,IF((E88="√")*AND(F88&lt;&gt;"√"),0.5*H88,IF((E88&lt;&gt;"√")*AND(F88&lt;&gt;"√"),0.25*G88*H88))))))</f>
        <v/>
      </c>
      <c r="J88" s="189">
        <f>IF(I88="N/A","不适用",IF(I88=1,"符合",IF(I88=0,"不符合","部分符合")))</f>
        <v/>
      </c>
      <c r="K88" s="235" t="n"/>
      <c r="L88" s="235" t="n"/>
      <c r="M88" s="280" t="n"/>
      <c r="N88" s="219">
        <f>IF(I88="N/A","N/A",整体测评!O$22/M$62)</f>
        <v/>
      </c>
      <c r="O88" s="219">
        <f>IF(I88="N/A","N/A",I88*N88)</f>
        <v/>
      </c>
      <c r="P88" s="219">
        <f>IF(I88="N/A","N/A",N88-O88)</f>
        <v/>
      </c>
    </row>
    <row r="89" ht="40.5" customHeight="1">
      <c r="A89" s="280" t="n"/>
      <c r="B89" s="157" t="inlineStr">
        <is>
          <t>区域客户服务系统-人行账户管控-业务数据</t>
        </is>
      </c>
      <c r="C89" s="169" t="inlineStr">
        <is>
          <t>适用</t>
        </is>
      </c>
      <c r="D89" s="169" t="inlineStr">
        <is>
          <t>×</t>
        </is>
      </c>
      <c r="E89" s="169" t="inlineStr">
        <is>
          <t>/</t>
        </is>
      </c>
      <c r="F89" s="169" t="inlineStr">
        <is>
          <t>/</t>
        </is>
      </c>
      <c r="G89" s="169" t="n">
        <v>1</v>
      </c>
      <c r="H89" s="169" t="n">
        <v>1</v>
      </c>
      <c r="I89" s="189">
        <f>IF(C89="不适用","N/A",IF(D89&lt;&gt;"√",0,IF((E89="√")*AND(F89="√"),1,IF((E89&lt;&gt;"√")*AND(F89="√"),0.5*G89,IF((E89="√")*AND(F89&lt;&gt;"√"),0.5*H89,IF((E89&lt;&gt;"√")*AND(F89&lt;&gt;"√"),0.25*G89*H89))))))</f>
        <v/>
      </c>
      <c r="J89" s="189">
        <f>IF(I89="N/A","不适用",IF(I89=1,"符合",IF(I89=0,"不符合","部分符合")))</f>
        <v/>
      </c>
      <c r="K89" s="235" t="n"/>
      <c r="L89" s="235" t="n"/>
      <c r="M89" s="280" t="n"/>
      <c r="N89" s="219">
        <f>IF(I89="N/A","N/A",整体测评!O$22/M$62)</f>
        <v/>
      </c>
      <c r="O89" s="219">
        <f>IF(I89="N/A","N/A",I89*N89)</f>
        <v/>
      </c>
      <c r="P89" s="219">
        <f>IF(I89="N/A","N/A",N89-O89)</f>
        <v/>
      </c>
    </row>
    <row r="90" ht="40.5" customHeight="1">
      <c r="A90" s="278" t="n"/>
      <c r="B90" s="167" t="inlineStr">
        <is>
          <t>勿删</t>
        </is>
      </c>
      <c r="C90" s="168" t="inlineStr">
        <is>
          <t>不适用</t>
        </is>
      </c>
      <c r="D90" s="169" t="n"/>
      <c r="E90" s="169" t="n"/>
      <c r="F90" s="169" t="n"/>
      <c r="G90" s="169" t="n">
        <v>1</v>
      </c>
      <c r="H90" s="169" t="n">
        <v>1</v>
      </c>
      <c r="I90" s="189">
        <f>IF(C90="不适用","N/A",IF(D90&lt;&gt;"√",0,IF((E90="√")*AND(F90="√"),1,IF((E90&lt;&gt;"√")*AND(F90="√"),0.5*G90,IF((E90="√")*AND(F90&lt;&gt;"√"),0.5*H90,IF((E90&lt;&gt;"√")*AND(F90&lt;&gt;"√"),0.25*G90*H90))))))</f>
        <v/>
      </c>
      <c r="J90" s="189">
        <f>IF(I90="N/A","不适用",IF(I90=1,"符合",IF(I90=0,"不符合","部分符合")))</f>
        <v/>
      </c>
      <c r="K90" s="229" t="n"/>
      <c r="L90" s="229" t="n"/>
      <c r="M90" s="278" t="n"/>
      <c r="N90" s="219">
        <f>IF(I90="N/A","N/A",整体测评!O$22/M$62)</f>
        <v/>
      </c>
      <c r="O90" s="219">
        <f>IF(I90="N/A","N/A",I90*N90)</f>
        <v/>
      </c>
      <c r="P90" s="219">
        <f>IF(I90="N/A","N/A",N90-O90)</f>
        <v/>
      </c>
    </row>
    <row r="91" ht="18.9" customHeight="1">
      <c r="A91" s="222" t="inlineStr">
        <is>
          <t>重要数据存储完整性</t>
        </is>
      </c>
      <c r="B91" s="75" t="inlineStr">
        <is>
          <t>外部数据管理系统鉴别数据</t>
        </is>
      </c>
      <c r="C91" s="169" t="inlineStr">
        <is>
          <t>适用</t>
        </is>
      </c>
      <c r="D91" s="169" t="inlineStr">
        <is>
          <t>×</t>
        </is>
      </c>
      <c r="E91" s="169" t="inlineStr">
        <is>
          <t>/</t>
        </is>
      </c>
      <c r="F91" s="169" t="inlineStr">
        <is>
          <t>/</t>
        </is>
      </c>
      <c r="G91" s="169" t="n">
        <v>1</v>
      </c>
      <c r="H91" s="169" t="n">
        <v>1</v>
      </c>
      <c r="I91" s="189">
        <f>IF(C91="不适用","N/A",IF(D91&lt;&gt;"√",0,IF((E91="√")*AND(F91="√"),1,IF((E91&lt;&gt;"√")*AND(F91="√"),0.5*G91,IF((E91="√")*AND(F91&lt;&gt;"√"),0.5*H91,IF((E91&lt;&gt;"√")*AND(F91&lt;&gt;"√"),0.25*G91*H91))))))</f>
        <v/>
      </c>
      <c r="J91" s="189">
        <f>IF(I91="N/A","不适用",IF(I91=1,"符合",IF(I91=0,"不符合","部分符合")))</f>
        <v/>
      </c>
      <c r="K91" s="283">
        <f>IF(COUNTIF($I91:$I109,"N/A")=COUNTA($I91:$I109),"N/A",AVERAGE($I91:$I109))</f>
        <v/>
      </c>
      <c r="L91" s="218">
        <f>IF(K91="N/A","不适用",IF(K91=1,"符合",IF(K91=0,"不符合","部分符合")))</f>
        <v/>
      </c>
      <c r="M91" s="221">
        <f>(COUNTA($C91:$C109)-COUNTIF($C91:$C109,"不适用"))</f>
        <v/>
      </c>
      <c r="N91" s="219">
        <f>IF(I91="N/A","N/A",整体测评!O$23/M$91)</f>
        <v/>
      </c>
      <c r="O91" s="219">
        <f>IF(I91="N/A","N/A",I91*N91)</f>
        <v/>
      </c>
      <c r="P91" s="219">
        <f>IF(I91="N/A","N/A",N91-O91)</f>
        <v/>
      </c>
    </row>
    <row r="92" ht="18.9" customHeight="1">
      <c r="A92" s="280" t="n"/>
      <c r="B92" s="75" t="inlineStr">
        <is>
          <t>外部数据管理系统业务数据</t>
        </is>
      </c>
      <c r="C92" s="169" t="inlineStr">
        <is>
          <t>适用</t>
        </is>
      </c>
      <c r="D92" s="169" t="inlineStr">
        <is>
          <t>×</t>
        </is>
      </c>
      <c r="E92" s="169" t="inlineStr">
        <is>
          <t>/</t>
        </is>
      </c>
      <c r="F92" s="169" t="inlineStr">
        <is>
          <t>/</t>
        </is>
      </c>
      <c r="G92" s="169" t="n">
        <v>1</v>
      </c>
      <c r="H92" s="169" t="n">
        <v>1</v>
      </c>
      <c r="I92" s="189">
        <f>IF(C92="不适用","N/A",IF(D92&lt;&gt;"√",0,IF((E92="√")*AND(F92="√"),1,IF((E92&lt;&gt;"√")*AND(F92="√"),0.5*G92,IF((E92="√")*AND(F92&lt;&gt;"√"),0.5*H92,IF((E92&lt;&gt;"√")*AND(F92&lt;&gt;"√"),0.25*G92*H92))))))</f>
        <v/>
      </c>
      <c r="J92" s="189">
        <f>IF(I92="N/A","不适用",IF(I92=1,"符合",IF(I92=0,"不符合","部分符合")))</f>
        <v/>
      </c>
      <c r="K92" s="235" t="n"/>
      <c r="L92" s="235" t="n"/>
      <c r="M92" s="280" t="n"/>
      <c r="N92" s="219">
        <f>IF(I92="N/A","N/A",整体测评!O$23/M$91)</f>
        <v/>
      </c>
      <c r="O92" s="219">
        <f>IF(I92="N/A","N/A",I92*N92)</f>
        <v/>
      </c>
      <c r="P92" s="219">
        <f>IF(I92="N/A","N/A",N92-O92)</f>
        <v/>
      </c>
    </row>
    <row r="93" ht="18.9" customHeight="1">
      <c r="A93" s="280" t="n"/>
      <c r="B93" s="75" t="inlineStr">
        <is>
          <t>智慧社保系统业务数据</t>
        </is>
      </c>
      <c r="C93" s="169" t="inlineStr">
        <is>
          <t>适用</t>
        </is>
      </c>
      <c r="D93" s="169" t="inlineStr">
        <is>
          <t>×</t>
        </is>
      </c>
      <c r="E93" s="169" t="inlineStr">
        <is>
          <t>/</t>
        </is>
      </c>
      <c r="F93" s="169" t="inlineStr">
        <is>
          <t>/</t>
        </is>
      </c>
      <c r="G93" s="169" t="n">
        <v>1</v>
      </c>
      <c r="H93" s="169" t="n">
        <v>1</v>
      </c>
      <c r="I93" s="189">
        <f>IF(C93="不适用","N/A",IF(D93&lt;&gt;"√",0,IF((E93="√")*AND(F93="√"),1,IF((E93&lt;&gt;"√")*AND(F93="√"),0.5*G93,IF((E93="√")*AND(F93&lt;&gt;"√"),0.5*H93,IF((E93&lt;&gt;"√")*AND(F93&lt;&gt;"√"),0.25*G93*H93))))))</f>
        <v/>
      </c>
      <c r="J93" s="189">
        <f>IF(I93="N/A","不适用",IF(I93=1,"符合",IF(I93=0,"不符合","部分符合")))</f>
        <v/>
      </c>
      <c r="K93" s="235" t="n"/>
      <c r="L93" s="235" t="n"/>
      <c r="M93" s="280" t="n"/>
      <c r="N93" s="219">
        <f>IF(I93="N/A","N/A",整体测评!O$23/M$91)</f>
        <v/>
      </c>
      <c r="O93" s="219">
        <f>IF(I93="N/A","N/A",I93*N93)</f>
        <v/>
      </c>
      <c r="P93" s="219">
        <f>IF(I93="N/A","N/A",N93-O93)</f>
        <v/>
      </c>
    </row>
    <row r="94" ht="18.9" customHeight="1">
      <c r="A94" s="280" t="n"/>
      <c r="B94" s="75" t="inlineStr">
        <is>
          <t>个贷普惠系统业务数据</t>
        </is>
      </c>
      <c r="C94" s="169" t="inlineStr">
        <is>
          <t>适用</t>
        </is>
      </c>
      <c r="D94" s="169" t="inlineStr">
        <is>
          <t>×</t>
        </is>
      </c>
      <c r="E94" s="169" t="inlineStr">
        <is>
          <t>/</t>
        </is>
      </c>
      <c r="F94" s="169" t="inlineStr">
        <is>
          <t>/</t>
        </is>
      </c>
      <c r="G94" s="169" t="n">
        <v>1</v>
      </c>
      <c r="H94" s="169" t="n">
        <v>1</v>
      </c>
      <c r="I94" s="189">
        <f>IF(C94="不适用","N/A",IF(D94&lt;&gt;"√",0,IF((E94="√")*AND(F94="√"),1,IF((E94&lt;&gt;"√")*AND(F94="√"),0.5*G94,IF((E94="√")*AND(F94&lt;&gt;"√"),0.5*H94,IF((E94&lt;&gt;"√")*AND(F94&lt;&gt;"√"),0.25*G94*H94))))))</f>
        <v/>
      </c>
      <c r="J94" s="189">
        <f>IF(I94="N/A","不适用",IF(I94=1,"符合",IF(I94=0,"不符合","部分符合")))</f>
        <v/>
      </c>
      <c r="K94" s="235" t="n"/>
      <c r="L94" s="235" t="n"/>
      <c r="M94" s="280" t="n"/>
      <c r="N94" s="219">
        <f>IF(I94="N/A","N/A",整体测评!O$23/M$91)</f>
        <v/>
      </c>
      <c r="O94" s="219">
        <f>IF(I94="N/A","N/A",I94*N94)</f>
        <v/>
      </c>
      <c r="P94" s="219">
        <f>IF(I94="N/A","N/A",N94-O94)</f>
        <v/>
      </c>
    </row>
    <row r="95" ht="18.9" customHeight="1">
      <c r="A95" s="280" t="n"/>
      <c r="B95" s="75" t="inlineStr">
        <is>
          <t>代理财政集中收付系统业务数据</t>
        </is>
      </c>
      <c r="C95" s="169" t="inlineStr">
        <is>
          <t>适用</t>
        </is>
      </c>
      <c r="D95" s="169" t="inlineStr">
        <is>
          <t>×</t>
        </is>
      </c>
      <c r="E95" s="169" t="inlineStr">
        <is>
          <t>/</t>
        </is>
      </c>
      <c r="F95" s="169" t="inlineStr">
        <is>
          <t>/</t>
        </is>
      </c>
      <c r="G95" s="169" t="n">
        <v>1</v>
      </c>
      <c r="H95" s="169" t="n">
        <v>1</v>
      </c>
      <c r="I95" s="189">
        <f>IF(C95="不适用","N/A",IF(D95&lt;&gt;"√",0,IF((E95="√")*AND(F95="√"),1,IF((E95&lt;&gt;"√")*AND(F95="√"),0.5*G95,IF((E95="√")*AND(F95&lt;&gt;"√"),0.5*H95,IF((E95&lt;&gt;"√")*AND(F95&lt;&gt;"√"),0.25*G95*H95))))))</f>
        <v/>
      </c>
      <c r="J95" s="189">
        <f>IF(I95="N/A","不适用",IF(I95=1,"符合",IF(I95=0,"不符合","部分符合")))</f>
        <v/>
      </c>
      <c r="K95" s="235" t="n"/>
      <c r="L95" s="235" t="n"/>
      <c r="M95" s="280" t="n"/>
      <c r="N95" s="219">
        <f>IF(I95="N/A","N/A",整体测评!O$23/M$91)</f>
        <v/>
      </c>
      <c r="O95" s="219">
        <f>IF(I95="N/A","N/A",I95*N95)</f>
        <v/>
      </c>
      <c r="P95" s="219">
        <f>IF(I95="N/A","N/A",N95-O95)</f>
        <v/>
      </c>
    </row>
    <row r="96" ht="18.9" customHeight="1">
      <c r="A96" s="280" t="n"/>
      <c r="B96" s="75" t="inlineStr">
        <is>
          <t>智慧缴费系统-吴忠热-业务数据</t>
        </is>
      </c>
      <c r="C96" s="169" t="inlineStr">
        <is>
          <t>适用</t>
        </is>
      </c>
      <c r="D96" s="169" t="inlineStr">
        <is>
          <t>×</t>
        </is>
      </c>
      <c r="E96" s="169" t="inlineStr">
        <is>
          <t>/</t>
        </is>
      </c>
      <c r="F96" s="169" t="inlineStr">
        <is>
          <t>/</t>
        </is>
      </c>
      <c r="G96" s="169" t="n">
        <v>1</v>
      </c>
      <c r="H96" s="169" t="n">
        <v>1</v>
      </c>
      <c r="I96" s="189">
        <f>IF(C96="不适用","N/A",IF(D96&lt;&gt;"√",0,IF((E96="√")*AND(F96="√"),1,IF((E96&lt;&gt;"√")*AND(F96="√"),0.5*G96,IF((E96="√")*AND(F96&lt;&gt;"√"),0.5*H96,IF((E96&lt;&gt;"√")*AND(F96&lt;&gt;"√"),0.25*G96*H96))))))</f>
        <v/>
      </c>
      <c r="J96" s="189">
        <f>IF(I96="N/A","不适用",IF(I96=1,"符合",IF(I96=0,"不符合","部分符合")))</f>
        <v/>
      </c>
      <c r="K96" s="235" t="n"/>
      <c r="L96" s="235" t="n"/>
      <c r="M96" s="280" t="n"/>
      <c r="N96" s="219">
        <f>IF(I96="N/A","N/A",整体测评!O$23/M$91)</f>
        <v/>
      </c>
      <c r="O96" s="219">
        <f>IF(I96="N/A","N/A",I96*N96)</f>
        <v/>
      </c>
      <c r="P96" s="219">
        <f>IF(I96="N/A","N/A",N96-O96)</f>
        <v/>
      </c>
    </row>
    <row r="97" ht="18.9" customHeight="1">
      <c r="A97" s="280" t="n"/>
      <c r="B97" s="75" t="inlineStr">
        <is>
          <t>智慧缴费系统-吴忠水发-业务数据</t>
        </is>
      </c>
      <c r="C97" s="169" t="inlineStr">
        <is>
          <t>适用</t>
        </is>
      </c>
      <c r="D97" s="169" t="inlineStr">
        <is>
          <t>×</t>
        </is>
      </c>
      <c r="E97" s="169" t="inlineStr">
        <is>
          <t>/</t>
        </is>
      </c>
      <c r="F97" s="169" t="inlineStr">
        <is>
          <t>/</t>
        </is>
      </c>
      <c r="G97" s="169" t="n">
        <v>1</v>
      </c>
      <c r="H97" s="169" t="n">
        <v>1</v>
      </c>
      <c r="I97" s="189">
        <f>IF(C97="不适用","N/A",IF(D97&lt;&gt;"√",0,IF((E97="√")*AND(F97="√"),1,IF((E97&lt;&gt;"√")*AND(F97="√"),0.5*G97,IF((E97="√")*AND(F97&lt;&gt;"√"),0.5*H97,IF((E97&lt;&gt;"√")*AND(F97&lt;&gt;"√"),0.25*G97*H97))))))</f>
        <v/>
      </c>
      <c r="J97" s="189">
        <f>IF(I97="N/A","不适用",IF(I97=1,"符合",IF(I97=0,"不符合","部分符合")))</f>
        <v/>
      </c>
      <c r="K97" s="235" t="n"/>
      <c r="L97" s="235" t="n"/>
      <c r="M97" s="280" t="n"/>
      <c r="N97" s="219">
        <f>IF(I97="N/A","N/A",整体测评!O$23/M$91)</f>
        <v/>
      </c>
      <c r="O97" s="219">
        <f>IF(I97="N/A","N/A",I97*N97)</f>
        <v/>
      </c>
      <c r="P97" s="219">
        <f>IF(I97="N/A","N/A",N97-O97)</f>
        <v/>
      </c>
    </row>
    <row r="98" ht="18.9" customHeight="1">
      <c r="A98" s="280" t="n"/>
      <c r="B98" s="75" t="inlineStr">
        <is>
          <t>智慧缴费系统-高速-业务数据</t>
        </is>
      </c>
      <c r="C98" s="169" t="inlineStr">
        <is>
          <t>适用</t>
        </is>
      </c>
      <c r="D98" s="169" t="inlineStr">
        <is>
          <t>×</t>
        </is>
      </c>
      <c r="E98" s="169" t="inlineStr">
        <is>
          <t>/</t>
        </is>
      </c>
      <c r="F98" s="169" t="inlineStr">
        <is>
          <t>/</t>
        </is>
      </c>
      <c r="G98" s="169" t="n">
        <v>1</v>
      </c>
      <c r="H98" s="169" t="n">
        <v>1</v>
      </c>
      <c r="I98" s="189">
        <f>IF(C98="不适用","N/A",IF(D98&lt;&gt;"√",0,IF((E98="√")*AND(F98="√"),1,IF((E98&lt;&gt;"√")*AND(F98="√"),0.5*G98,IF((E98="√")*AND(F98&lt;&gt;"√"),0.5*H98,IF((E98&lt;&gt;"√")*AND(F98&lt;&gt;"√"),0.25*G98*H98))))))</f>
        <v/>
      </c>
      <c r="J98" s="189">
        <f>IF(I98="N/A","不适用",IF(I98=1,"符合",IF(I98=0,"不符合","部分符合")))</f>
        <v/>
      </c>
      <c r="K98" s="235" t="n"/>
      <c r="L98" s="235" t="n"/>
      <c r="M98" s="280" t="n"/>
      <c r="N98" s="219">
        <f>IF(I98="N/A","N/A",整体测评!O$23/M$91)</f>
        <v/>
      </c>
      <c r="O98" s="219">
        <f>IF(I98="N/A","N/A",I98*N98)</f>
        <v/>
      </c>
      <c r="P98" s="219">
        <f>IF(I98="N/A","N/A",N98-O98)</f>
        <v/>
      </c>
    </row>
    <row r="99" ht="18.9" customHeight="1">
      <c r="A99" s="280" t="n"/>
      <c r="B99" s="75" t="inlineStr">
        <is>
          <t>现金管理系统-国电-业务数据</t>
        </is>
      </c>
      <c r="C99" s="169" t="inlineStr">
        <is>
          <t>适用</t>
        </is>
      </c>
      <c r="D99" s="169" t="inlineStr">
        <is>
          <t>×</t>
        </is>
      </c>
      <c r="E99" s="169" t="inlineStr">
        <is>
          <t>/</t>
        </is>
      </c>
      <c r="F99" s="169" t="inlineStr">
        <is>
          <t>/</t>
        </is>
      </c>
      <c r="G99" s="169" t="n">
        <v>1</v>
      </c>
      <c r="H99" s="169" t="n">
        <v>1</v>
      </c>
      <c r="I99" s="189">
        <f>IF(C99="不适用","N/A",IF(D99&lt;&gt;"√",0,IF((E99="√")*AND(F99="√"),1,IF((E99&lt;&gt;"√")*AND(F99="√"),0.5*G99,IF((E99="√")*AND(F99&lt;&gt;"√"),0.5*H99,IF((E99&lt;&gt;"√")*AND(F99&lt;&gt;"√"),0.25*G99*H99))))))</f>
        <v/>
      </c>
      <c r="J99" s="189">
        <f>IF(I99="N/A","不适用",IF(I99=1,"符合",IF(I99=0,"不符合","部分符合")))</f>
        <v/>
      </c>
      <c r="K99" s="235" t="n"/>
      <c r="L99" s="235" t="n"/>
      <c r="M99" s="280" t="n"/>
      <c r="N99" s="219">
        <f>IF(I99="N/A","N/A",整体测评!O$23/M$91)</f>
        <v/>
      </c>
      <c r="O99" s="219">
        <f>IF(I99="N/A","N/A",I99*N99)</f>
        <v/>
      </c>
      <c r="P99" s="219">
        <f>IF(I99="N/A","N/A",N99-O99)</f>
        <v/>
      </c>
    </row>
    <row r="100" ht="18.9" customHeight="1">
      <c r="A100" s="280" t="n"/>
      <c r="B100" s="75" t="inlineStr">
        <is>
          <t>现金管理系统-监狱管理局-业务数据</t>
        </is>
      </c>
      <c r="C100" s="169" t="inlineStr">
        <is>
          <t>适用</t>
        </is>
      </c>
      <c r="D100" s="169" t="inlineStr">
        <is>
          <t>×</t>
        </is>
      </c>
      <c r="E100" s="169" t="inlineStr">
        <is>
          <t>/</t>
        </is>
      </c>
      <c r="F100" s="169" t="inlineStr">
        <is>
          <t>/</t>
        </is>
      </c>
      <c r="G100" s="169" t="n">
        <v>1</v>
      </c>
      <c r="H100" s="169" t="n">
        <v>1</v>
      </c>
      <c r="I100" s="189">
        <f>IF(C100="不适用","N/A",IF(D100&lt;&gt;"√",0,IF((E100="√")*AND(F100="√"),1,IF((E100&lt;&gt;"√")*AND(F100="√"),0.5*G100,IF((E100="√")*AND(F100&lt;&gt;"√"),0.5*H100,IF((E100&lt;&gt;"√")*AND(F100&lt;&gt;"√"),0.25*G100*H100))))))</f>
        <v/>
      </c>
      <c r="J100" s="189">
        <f>IF(I100="N/A","不适用",IF(I100=1,"符合",IF(I100=0,"不符合","部分符合")))</f>
        <v/>
      </c>
      <c r="K100" s="235" t="n"/>
      <c r="L100" s="235" t="n"/>
      <c r="M100" s="280" t="n"/>
      <c r="N100" s="219">
        <f>IF(I100="N/A","N/A",整体测评!O$23/M$91)</f>
        <v/>
      </c>
      <c r="O100" s="219">
        <f>IF(I100="N/A","N/A",I100*N100)</f>
        <v/>
      </c>
      <c r="P100" s="219">
        <f>IF(I100="N/A","N/A",N100-O100)</f>
        <v/>
      </c>
    </row>
    <row r="101" ht="18.9" customHeight="1">
      <c r="A101" s="280" t="n"/>
      <c r="B101" s="75" t="inlineStr">
        <is>
          <t>现金管理系统-烟草-业务数据</t>
        </is>
      </c>
      <c r="C101" s="169" t="inlineStr">
        <is>
          <t>适用</t>
        </is>
      </c>
      <c r="D101" s="169" t="inlineStr">
        <is>
          <t>×</t>
        </is>
      </c>
      <c r="E101" s="169" t="inlineStr">
        <is>
          <t>/</t>
        </is>
      </c>
      <c r="F101" s="169" t="inlineStr">
        <is>
          <t>/</t>
        </is>
      </c>
      <c r="G101" s="169" t="n">
        <v>1</v>
      </c>
      <c r="H101" s="169" t="n">
        <v>1</v>
      </c>
      <c r="I101" s="189">
        <f>IF(C101="不适用","N/A",IF(D101&lt;&gt;"√",0,IF((E101="√")*AND(F101="√"),1,IF((E101&lt;&gt;"√")*AND(F101="√"),0.5*G101,IF((E101="√")*AND(F101&lt;&gt;"√"),0.5*H101,IF((E101&lt;&gt;"√")*AND(F101&lt;&gt;"√"),0.25*G101*H101))))))</f>
        <v/>
      </c>
      <c r="J101" s="189">
        <f>IF(I101="N/A","不适用",IF(I101=1,"符合",IF(I101=0,"不符合","部分符合")))</f>
        <v/>
      </c>
      <c r="K101" s="235" t="n"/>
      <c r="L101" s="235" t="n"/>
      <c r="M101" s="280" t="n"/>
      <c r="N101" s="219">
        <f>IF(I101="N/A","N/A",整体测评!O$23/M$91)</f>
        <v/>
      </c>
      <c r="O101" s="219">
        <f>IF(I101="N/A","N/A",I101*N101)</f>
        <v/>
      </c>
      <c r="P101" s="219">
        <f>IF(I101="N/A","N/A",N101-O101)</f>
        <v/>
      </c>
    </row>
    <row r="102" ht="18.9" customHeight="1">
      <c r="A102" s="280" t="n"/>
      <c r="B102" s="75" t="inlineStr">
        <is>
          <t>现金管理系统-预售房-业务数据</t>
        </is>
      </c>
      <c r="C102" s="169" t="inlineStr">
        <is>
          <t>适用</t>
        </is>
      </c>
      <c r="D102" s="169" t="inlineStr">
        <is>
          <t>×</t>
        </is>
      </c>
      <c r="E102" s="169" t="inlineStr">
        <is>
          <t>/</t>
        </is>
      </c>
      <c r="F102" s="169" t="inlineStr">
        <is>
          <t>/</t>
        </is>
      </c>
      <c r="G102" s="169" t="n">
        <v>1</v>
      </c>
      <c r="H102" s="169" t="n">
        <v>1</v>
      </c>
      <c r="I102" s="189">
        <f>IF(C102="不适用","N/A",IF(D102&lt;&gt;"√",0,IF((E102="√")*AND(F102="√"),1,IF((E102&lt;&gt;"√")*AND(F102="√"),0.5*G102,IF((E102="√")*AND(F102&lt;&gt;"√"),0.5*H102,IF((E102&lt;&gt;"√")*AND(F102&lt;&gt;"√"),0.25*G102*H102))))))</f>
        <v/>
      </c>
      <c r="J102" s="189">
        <f>IF(I102="N/A","不适用",IF(I102=1,"符合",IF(I102=0,"不符合","部分符合")))</f>
        <v/>
      </c>
      <c r="K102" s="235" t="n"/>
      <c r="L102" s="235" t="n"/>
      <c r="M102" s="280" t="n"/>
      <c r="N102" s="219">
        <f>IF(I102="N/A","N/A",整体测评!O$23/M$91)</f>
        <v/>
      </c>
      <c r="O102" s="219">
        <f>IF(I102="N/A","N/A",I102*N102)</f>
        <v/>
      </c>
      <c r="P102" s="219">
        <f>IF(I102="N/A","N/A",N102-O102)</f>
        <v/>
      </c>
    </row>
    <row r="103" ht="18.9" customHeight="1">
      <c r="A103" s="280" t="n"/>
      <c r="B103" s="75" t="inlineStr">
        <is>
          <t>新一代电子不停车收费系统业务数据</t>
        </is>
      </c>
      <c r="C103" s="169" t="inlineStr">
        <is>
          <t>适用</t>
        </is>
      </c>
      <c r="D103" s="169" t="inlineStr">
        <is>
          <t>×</t>
        </is>
      </c>
      <c r="E103" s="169" t="inlineStr">
        <is>
          <t>/</t>
        </is>
      </c>
      <c r="F103" s="169" t="inlineStr">
        <is>
          <t>/</t>
        </is>
      </c>
      <c r="G103" s="169" t="n">
        <v>1</v>
      </c>
      <c r="H103" s="169" t="n">
        <v>1</v>
      </c>
      <c r="I103" s="189">
        <f>IF(C103="不适用","N/A",IF(D103&lt;&gt;"√",0,IF((E103="√")*AND(F103="√"),1,IF((E103&lt;&gt;"√")*AND(F103="√"),0.5*G103,IF((E103="√")*AND(F103&lt;&gt;"√"),0.5*H103,IF((E103&lt;&gt;"√")*AND(F103&lt;&gt;"√"),0.25*G103*H103))))))</f>
        <v/>
      </c>
      <c r="J103" s="189">
        <f>IF(I103="N/A","不适用",IF(I103=1,"符合",IF(I103=0,"不符合","部分符合")))</f>
        <v/>
      </c>
      <c r="K103" s="235" t="n"/>
      <c r="L103" s="235" t="n"/>
      <c r="M103" s="280" t="n"/>
      <c r="N103" s="219">
        <f>IF(I103="N/A","N/A",整体测评!O$23/M$91)</f>
        <v/>
      </c>
      <c r="O103" s="219">
        <f>IF(I103="N/A","N/A",I103*N103)</f>
        <v/>
      </c>
      <c r="P103" s="219">
        <f>IF(I103="N/A","N/A",N103-O103)</f>
        <v/>
      </c>
    </row>
    <row r="104" ht="18.9" customHeight="1">
      <c r="A104" s="280" t="n"/>
      <c r="B104" s="75" t="inlineStr">
        <is>
          <t>区域客户服务系统-市场监督管理厅-业务数据</t>
        </is>
      </c>
      <c r="C104" s="169" t="inlineStr">
        <is>
          <t>适用</t>
        </is>
      </c>
      <c r="D104" s="169" t="inlineStr">
        <is>
          <t>×</t>
        </is>
      </c>
      <c r="E104" s="169" t="inlineStr">
        <is>
          <t>/</t>
        </is>
      </c>
      <c r="F104" s="169" t="inlineStr">
        <is>
          <t>/</t>
        </is>
      </c>
      <c r="G104" s="169" t="n">
        <v>1</v>
      </c>
      <c r="H104" s="169" t="n">
        <v>1</v>
      </c>
      <c r="I104" s="189">
        <f>IF(C104="不适用","N/A",IF(D104&lt;&gt;"√",0,IF((E104="√")*AND(F104="√"),1,IF((E104&lt;&gt;"√")*AND(F104="√"),0.5*G104,IF((E104="√")*AND(F104&lt;&gt;"√"),0.5*H104,IF((E104&lt;&gt;"√")*AND(F104&lt;&gt;"√"),0.25*G104*H104))))))</f>
        <v/>
      </c>
      <c r="J104" s="189">
        <f>IF(I104="N/A","不适用",IF(I104=1,"符合",IF(I104=0,"不符合","部分符合")))</f>
        <v/>
      </c>
      <c r="K104" s="235" t="n"/>
      <c r="L104" s="235" t="n"/>
      <c r="M104" s="280" t="n"/>
      <c r="N104" s="219">
        <f>IF(I104="N/A","N/A",整体测评!O$23/M$91)</f>
        <v/>
      </c>
      <c r="O104" s="219">
        <f>IF(I104="N/A","N/A",I104*N104)</f>
        <v/>
      </c>
      <c r="P104" s="219">
        <f>IF(I104="N/A","N/A",N104-O104)</f>
        <v/>
      </c>
    </row>
    <row r="105" ht="18.9" customHeight="1">
      <c r="A105" s="280" t="n"/>
      <c r="B105" s="75" t="inlineStr">
        <is>
          <t>区域客户服务系统-民政厅-业务数据</t>
        </is>
      </c>
      <c r="C105" s="169" t="inlineStr">
        <is>
          <t>适用</t>
        </is>
      </c>
      <c r="D105" s="169" t="inlineStr">
        <is>
          <t>×</t>
        </is>
      </c>
      <c r="E105" s="169" t="inlineStr">
        <is>
          <t>/</t>
        </is>
      </c>
      <c r="F105" s="169" t="inlineStr">
        <is>
          <t>/</t>
        </is>
      </c>
      <c r="G105" s="169" t="n">
        <v>1</v>
      </c>
      <c r="H105" s="169" t="n">
        <v>1</v>
      </c>
      <c r="I105" s="189">
        <f>IF(C105="不适用","N/A",IF(D105&lt;&gt;"√",0,IF((E105="√")*AND(F105="√"),1,IF((E105&lt;&gt;"√")*AND(F105="√"),0.5*G105,IF((E105="√")*AND(F105&lt;&gt;"√"),0.5*H105,IF((E105&lt;&gt;"√")*AND(F105&lt;&gt;"√"),0.25*G105*H105))))))</f>
        <v/>
      </c>
      <c r="J105" s="189">
        <f>IF(I105="N/A","不适用",IF(I105=1,"符合",IF(I105=0,"不符合","部分符合")))</f>
        <v/>
      </c>
      <c r="K105" s="235" t="n"/>
      <c r="L105" s="235" t="n"/>
      <c r="M105" s="280" t="n"/>
      <c r="N105" s="219">
        <f>IF(I105="N/A","N/A",整体测评!O$23/M$91)</f>
        <v/>
      </c>
      <c r="O105" s="219">
        <f>IF(I105="N/A","N/A",I105*N105)</f>
        <v/>
      </c>
      <c r="P105" s="219">
        <f>IF(I105="N/A","N/A",N105-O105)</f>
        <v/>
      </c>
    </row>
    <row r="106" ht="18.9" customHeight="1">
      <c r="A106" s="280" t="n"/>
      <c r="B106" s="75" t="inlineStr">
        <is>
          <t>区域客户服务系统-总行-业务数据</t>
        </is>
      </c>
      <c r="C106" s="169" t="inlineStr">
        <is>
          <t>适用</t>
        </is>
      </c>
      <c r="D106" s="169" t="inlineStr">
        <is>
          <t>×</t>
        </is>
      </c>
      <c r="E106" s="169" t="inlineStr">
        <is>
          <t>/</t>
        </is>
      </c>
      <c r="F106" s="169" t="inlineStr">
        <is>
          <t>/</t>
        </is>
      </c>
      <c r="G106" s="169" t="n">
        <v>1</v>
      </c>
      <c r="H106" s="169" t="n">
        <v>1</v>
      </c>
      <c r="I106" s="189">
        <f>IF(C106="不适用","N/A",IF(D106&lt;&gt;"√",0,IF((E106="√")*AND(F106="√"),1,IF((E106&lt;&gt;"√")*AND(F106="√"),0.5*G106,IF((E106="√")*AND(F106&lt;&gt;"√"),0.5*H106,IF((E106&lt;&gt;"√")*AND(F106&lt;&gt;"√"),0.25*G106*H106))))))</f>
        <v/>
      </c>
      <c r="J106" s="189">
        <f>IF(I106="N/A","不适用",IF(I106=1,"符合",IF(I106=0,"不符合","部分符合")))</f>
        <v/>
      </c>
      <c r="K106" s="235" t="n"/>
      <c r="L106" s="235" t="n"/>
      <c r="M106" s="280" t="n"/>
      <c r="N106" s="219">
        <f>IF(I106="N/A","N/A",整体测评!O$23/M$91)</f>
        <v/>
      </c>
      <c r="O106" s="219">
        <f>IF(I106="N/A","N/A",I106*N106)</f>
        <v/>
      </c>
      <c r="P106" s="219">
        <f>IF(I106="N/A","N/A",N106-O106)</f>
        <v/>
      </c>
    </row>
    <row r="107" ht="18.9" customHeight="1">
      <c r="A107" s="280" t="n"/>
      <c r="B107" s="75" t="inlineStr">
        <is>
          <t>日志数据</t>
        </is>
      </c>
      <c r="C107" s="169" t="inlineStr">
        <is>
          <t>适用</t>
        </is>
      </c>
      <c r="D107" s="169" t="inlineStr">
        <is>
          <t>×</t>
        </is>
      </c>
      <c r="E107" s="169" t="inlineStr">
        <is>
          <t>/</t>
        </is>
      </c>
      <c r="F107" s="169" t="inlineStr">
        <is>
          <t>/</t>
        </is>
      </c>
      <c r="G107" s="169" t="n">
        <v>1</v>
      </c>
      <c r="H107" s="169" t="n">
        <v>1</v>
      </c>
      <c r="I107" s="189">
        <f>IF(C107="不适用","N/A",IF(D107&lt;&gt;"√",0,IF((E107="√")*AND(F107="√"),1,IF((E107&lt;&gt;"√")*AND(F107="√"),0.5*G107,IF((E107="√")*AND(F107&lt;&gt;"√"),0.5*H107,IF((E107&lt;&gt;"√")*AND(F107&lt;&gt;"√"),0.25*G107*H107))))))</f>
        <v/>
      </c>
      <c r="J107" s="189">
        <f>IF(I107="N/A","不适用",IF(I107=1,"符合",IF(I107=0,"不符合","部分符合")))</f>
        <v/>
      </c>
      <c r="K107" s="235" t="n"/>
      <c r="L107" s="235" t="n"/>
      <c r="M107" s="280" t="n"/>
      <c r="N107" s="219">
        <f>IF(I107="N/A","N/A",整体测评!O$23/M$91)</f>
        <v/>
      </c>
      <c r="O107" s="219">
        <f>IF(I107="N/A","N/A",I107*N107)</f>
        <v/>
      </c>
      <c r="P107" s="219">
        <f>IF(I107="N/A","N/A",N107-O107)</f>
        <v/>
      </c>
    </row>
    <row r="108" ht="18.9" customHeight="1">
      <c r="A108" s="280" t="n"/>
      <c r="B108" s="75" t="inlineStr">
        <is>
          <t>智慧缴费系统-新南燃气-业务数据</t>
        </is>
      </c>
      <c r="C108" s="169" t="inlineStr">
        <is>
          <t>适用</t>
        </is>
      </c>
      <c r="D108" s="169" t="inlineStr">
        <is>
          <t>×</t>
        </is>
      </c>
      <c r="E108" s="169" t="inlineStr">
        <is>
          <t>/</t>
        </is>
      </c>
      <c r="F108" s="169" t="inlineStr">
        <is>
          <t>/</t>
        </is>
      </c>
      <c r="G108" s="169" t="n">
        <v>1</v>
      </c>
      <c r="H108" s="169" t="n">
        <v>1</v>
      </c>
      <c r="I108" s="189">
        <f>IF(C108="不适用","N/A",IF(D108&lt;&gt;"√",0,IF((E108="√")*AND(F108="√"),1,IF((E108&lt;&gt;"√")*AND(F108="√"),0.5*G108,IF((E108="√")*AND(F108&lt;&gt;"√"),0.5*H108,IF((E108&lt;&gt;"√")*AND(F108&lt;&gt;"√"),0.25*G108*H108))))))</f>
        <v/>
      </c>
      <c r="J108" s="189">
        <f>IF(I108="N/A","不适用",IF(I108=1,"符合",IF(I108=0,"不符合","部分符合")))</f>
        <v/>
      </c>
      <c r="K108" s="235" t="n"/>
      <c r="L108" s="235" t="n"/>
      <c r="M108" s="280" t="n"/>
      <c r="N108" s="219">
        <f>IF(I108="N/A","N/A",整体测评!O$23/M$91)</f>
        <v/>
      </c>
      <c r="O108" s="219">
        <f>IF(I108="N/A","N/A",I108*N108)</f>
        <v/>
      </c>
      <c r="P108" s="219">
        <f>IF(I108="N/A","N/A",N108-O108)</f>
        <v/>
      </c>
    </row>
    <row r="109" ht="24.9" customHeight="1">
      <c r="A109" s="278" t="n"/>
      <c r="B109" s="167" t="inlineStr">
        <is>
          <t>勿删</t>
        </is>
      </c>
      <c r="C109" s="168" t="inlineStr">
        <is>
          <t>不适用</t>
        </is>
      </c>
      <c r="D109" s="169" t="inlineStr">
        <is>
          <t>√</t>
        </is>
      </c>
      <c r="E109" s="169" t="inlineStr">
        <is>
          <t>√</t>
        </is>
      </c>
      <c r="F109" s="169" t="inlineStr">
        <is>
          <t>√</t>
        </is>
      </c>
      <c r="G109" s="169" t="n">
        <v>1</v>
      </c>
      <c r="H109" s="169" t="n">
        <v>1</v>
      </c>
      <c r="I109" s="189">
        <f>IF(C109="不适用","N/A",IF(D109&lt;&gt;"√",0,IF((E109="√")*AND(F109="√"),1,IF((E109&lt;&gt;"√")*AND(F109="√"),0.5*G109,IF((E109="√")*AND(F109&lt;&gt;"√"),0.5*H109,IF((E109&lt;&gt;"√")*AND(F109&lt;&gt;"√"),0.25*G109*H109))))))</f>
        <v/>
      </c>
      <c r="J109" s="189">
        <f>IF(I109="N/A","不适用",IF(I109=1,"符合",IF(I109=0,"不符合","部分符合")))</f>
        <v/>
      </c>
      <c r="K109" s="229" t="n"/>
      <c r="L109" s="229" t="n"/>
      <c r="M109" s="278" t="n"/>
      <c r="N109" s="219">
        <f>IF(I109="N/A","N/A",整体测评!O$23/M$91)</f>
        <v/>
      </c>
      <c r="O109" s="219">
        <f>IF(I109="N/A","N/A",I109*N109)</f>
        <v/>
      </c>
      <c r="P109" s="219">
        <f>IF(I109="N/A","N/A",N109-O109)</f>
        <v/>
      </c>
    </row>
    <row r="110" ht="25.2" customHeight="1">
      <c r="A110" s="220" t="inlineStr">
        <is>
          <t>不可否认性</t>
        </is>
      </c>
      <c r="B110" s="206" t="inlineStr">
        <is>
          <t>中国建设银行宁夏区分行特色系统</t>
        </is>
      </c>
      <c r="C110" s="169" t="inlineStr">
        <is>
          <t>不适用</t>
        </is>
      </c>
      <c r="D110" s="169" t="inlineStr">
        <is>
          <t>/</t>
        </is>
      </c>
      <c r="E110" s="169" t="inlineStr">
        <is>
          <t>/</t>
        </is>
      </c>
      <c r="F110" s="169" t="inlineStr">
        <is>
          <t>/</t>
        </is>
      </c>
      <c r="G110" s="169" t="n">
        <v>1</v>
      </c>
      <c r="H110" s="169" t="n">
        <v>1</v>
      </c>
      <c r="I110" s="189">
        <f>IF(C110="不适用","N/A",IF(D110&lt;&gt;"√",0,IF((E110="√")*AND(F110="√"),1,IF((E110&lt;&gt;"√")*AND(F110="√"),0.5*G110,IF((E110="√")*AND(F110&lt;&gt;"√"),0.5*H110,IF((E110&lt;&gt;"√")*AND(F110&lt;&gt;"√"),0.25*G110*H110))))))</f>
        <v/>
      </c>
      <c r="J110" s="189">
        <f>IF(I110="N/A","不适用",IF(I110=1,"符合",IF(I110=0,"不符合","部分符合")))</f>
        <v/>
      </c>
      <c r="K110" s="283">
        <f>IF(COUNTIF($I110:$I111,"N/A")=COUNTA($I110:$I111),"N/A",AVERAGE($I110:$I111))</f>
        <v/>
      </c>
      <c r="L110" s="218">
        <f>IF(K110="N/A","不适用",IF(K110=1,"符合",IF(K110=0,"不符合","部分符合")))</f>
        <v/>
      </c>
      <c r="M110" s="221">
        <f>(COUNTA($C110:$C111)-COUNTIF($C110:$C111,"不适用"))</f>
        <v/>
      </c>
      <c r="N110" s="219">
        <f>IF(I110="N/A","N/A",整体测评!O$24/M$110)</f>
        <v/>
      </c>
      <c r="O110" s="219">
        <f>IF(I110="N/A","N/A",I110*N110)</f>
        <v/>
      </c>
      <c r="P110" s="219">
        <f>IF(I110="N/A","N/A",N110-O110)</f>
        <v/>
      </c>
    </row>
    <row r="111" ht="25.2" customHeight="1">
      <c r="A111" s="278" t="n"/>
      <c r="B111" s="167" t="inlineStr">
        <is>
          <t>勿删</t>
        </is>
      </c>
      <c r="C111" s="168" t="inlineStr">
        <is>
          <t>不适用</t>
        </is>
      </c>
      <c r="D111" s="169" t="n"/>
      <c r="E111" s="169" t="n"/>
      <c r="F111" s="169" t="n"/>
      <c r="G111" s="169" t="n">
        <v>1</v>
      </c>
      <c r="H111" s="169" t="n">
        <v>1</v>
      </c>
      <c r="I111" s="189">
        <f>IF(C111="不适用","N/A",IF(D111&lt;&gt;"√",0,IF((E111="√")*AND(F111="√"),1,IF((E111&lt;&gt;"√")*AND(F111="√"),0.5*G111,IF((E111="√")*AND(F111&lt;&gt;"√"),0.5*H111,IF((E111&lt;&gt;"√")*AND(F111&lt;&gt;"√"),0.25*G111*H111))))))</f>
        <v/>
      </c>
      <c r="J111" s="189">
        <f>IF(I111="N/A","不适用",IF(I111=1,"符合",IF(I111=0,"不符合","部分符合")))</f>
        <v/>
      </c>
      <c r="K111" s="229" t="n"/>
      <c r="L111" s="229" t="n"/>
      <c r="M111" s="278" t="n"/>
      <c r="N111" s="219">
        <f>IF(I111="N/A","N/A",整体测评!O$24/M$110)</f>
        <v/>
      </c>
      <c r="O111" s="219">
        <f>IF(I111="N/A","N/A",I111*N111)</f>
        <v/>
      </c>
      <c r="P111" s="219">
        <f>IF(I111="N/A","N/A",N111-O111)</f>
        <v/>
      </c>
    </row>
  </sheetData>
  <mergeCells count="45">
    <mergeCell ref="K44:K61"/>
    <mergeCell ref="A110:A111"/>
    <mergeCell ref="M91:M109"/>
    <mergeCell ref="L13:L14"/>
    <mergeCell ref="L3:L4"/>
    <mergeCell ref="B3:B4"/>
    <mergeCell ref="L15:L43"/>
    <mergeCell ref="N3:N4"/>
    <mergeCell ref="M11:M12"/>
    <mergeCell ref="M15:M43"/>
    <mergeCell ref="K5:K10"/>
    <mergeCell ref="K110:K111"/>
    <mergeCell ref="M5:M10"/>
    <mergeCell ref="M110:M111"/>
    <mergeCell ref="L44:L61"/>
    <mergeCell ref="L91:L109"/>
    <mergeCell ref="K11:K12"/>
    <mergeCell ref="M13:M14"/>
    <mergeCell ref="A62:A90"/>
    <mergeCell ref="A3:A4"/>
    <mergeCell ref="M3:M4"/>
    <mergeCell ref="A1:L2"/>
    <mergeCell ref="I3:I4"/>
    <mergeCell ref="K91:K109"/>
    <mergeCell ref="L5:L10"/>
    <mergeCell ref="A44:A61"/>
    <mergeCell ref="K62:K90"/>
    <mergeCell ref="M62:M90"/>
    <mergeCell ref="A13:A14"/>
    <mergeCell ref="P3:P4"/>
    <mergeCell ref="A15:A43"/>
    <mergeCell ref="K13:K14"/>
    <mergeCell ref="J3:J4"/>
    <mergeCell ref="K15:K43"/>
    <mergeCell ref="A91:A109"/>
    <mergeCell ref="M44:M61"/>
    <mergeCell ref="A5:A10"/>
    <mergeCell ref="L11:L12"/>
    <mergeCell ref="D3:H3"/>
    <mergeCell ref="L62:L90"/>
    <mergeCell ref="K3:K4"/>
    <mergeCell ref="C3:C4"/>
    <mergeCell ref="O3:O4"/>
    <mergeCell ref="L110:L111"/>
    <mergeCell ref="A11:A12"/>
  </mergeCells>
  <dataValidations count="4">
    <dataValidation sqref="H5:H111" showDropDown="0" showInputMessage="1" showErrorMessage="1" allowBlank="1" type="list">
      <formula1>"1.2,1"</formula1>
    </dataValidation>
    <dataValidation sqref="C5:C111" showDropDown="0" showInputMessage="1" showErrorMessage="1" allowBlank="1" type="list">
      <formula1>"适用,不适用"</formula1>
    </dataValidation>
    <dataValidation sqref="G5:G111" showDropDown="0" showInputMessage="1" showErrorMessage="1" allowBlank="1" type="list">
      <formula1>"0.2,0.5,1"</formula1>
    </dataValidation>
    <dataValidation sqref="D5:F111" showDropDown="0" showInputMessage="1" showErrorMessage="1" allowBlank="1" type="list">
      <formula1>"√,×,/"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topLeftCell="C1" workbookViewId="0">
      <selection activeCell="C7" sqref="C7"/>
    </sheetView>
  </sheetViews>
  <sheetFormatPr baseColWidth="8" defaultColWidth="9.0703125" defaultRowHeight="14.15"/>
  <cols>
    <col width="9.0703125" customWidth="1" style="1" min="1" max="1"/>
    <col width="35.5" customWidth="1" style="1" min="2" max="2"/>
    <col width="15.7109375" customWidth="1" style="1" min="3" max="3"/>
    <col width="18.0703125" customWidth="1" style="1" min="4" max="4"/>
    <col width="18.85546875" customWidth="1" style="1" min="5" max="5"/>
    <col width="17.5703125" customWidth="1" style="1" min="6" max="6"/>
    <col width="18.5" customWidth="1" style="1" min="7" max="7"/>
    <col width="20.7109375" customWidth="1" style="1" min="8" max="8"/>
    <col width="9.0703125" customWidth="1" style="1" min="9" max="16384"/>
  </cols>
  <sheetData>
    <row r="1">
      <c r="A1" s="162" t="inlineStr">
        <is>
          <t>序号</t>
        </is>
      </c>
      <c r="B1" s="163" t="inlineStr">
        <is>
          <t>测评对象</t>
        </is>
      </c>
      <c r="C1" s="159" t="inlineStr">
        <is>
          <t>测评指标符合情况（符合/部分符合/不符合/不适用）</t>
        </is>
      </c>
      <c r="D1" s="276" t="n"/>
      <c r="E1" s="276" t="n"/>
      <c r="F1" s="276" t="n"/>
      <c r="G1" s="276" t="n"/>
      <c r="H1" s="277" t="n"/>
    </row>
    <row r="2" ht="27.45" customHeight="1">
      <c r="A2" s="278" t="n"/>
      <c r="B2" s="273" t="n"/>
      <c r="C2" s="11" t="inlineStr">
        <is>
          <t>具备密码应用安全管理制度</t>
        </is>
      </c>
      <c r="D2" s="11" t="inlineStr">
        <is>
          <t>密钥管理规则</t>
        </is>
      </c>
      <c r="E2" s="11" t="inlineStr">
        <is>
          <t>建立操作规程</t>
        </is>
      </c>
      <c r="F2" s="11" t="inlineStr">
        <is>
          <t>定期修订安全管理制度</t>
        </is>
      </c>
      <c r="G2" s="11" t="inlineStr">
        <is>
          <t>明确管理制度发布流程</t>
        </is>
      </c>
      <c r="H2" s="11" t="inlineStr">
        <is>
          <t>制度执行过程记录留存</t>
        </is>
      </c>
    </row>
    <row r="3" ht="66.65000000000001" customHeight="1">
      <c r="A3" s="160" t="n">
        <v>1</v>
      </c>
      <c r="B3" s="12" t="inlineStr">
        <is>
          <t>管理体系（包括安全管理制度类文档、密码应用方案、密钥管理制度及策略类文档、操作规程类文档、记录表单类文档、系统相关人员）</t>
        </is>
      </c>
      <c r="C3" s="160" t="n">
        <v>1</v>
      </c>
      <c r="D3" s="160" t="n">
        <v>1</v>
      </c>
      <c r="E3" s="160" t="n">
        <v>1</v>
      </c>
      <c r="F3" s="160" t="n">
        <v>1</v>
      </c>
      <c r="G3" s="160" t="n">
        <v>1</v>
      </c>
      <c r="H3" s="160" t="n">
        <v>1</v>
      </c>
    </row>
    <row r="4" ht="39.65" customHeight="1">
      <c r="A4" s="160" t="inlineStr">
        <is>
          <t>测评单元得分Si,j</t>
        </is>
      </c>
      <c r="B4" s="277" t="n"/>
      <c r="C4" s="284">
        <f>C$3</f>
        <v/>
      </c>
      <c r="D4" s="284">
        <f>D$3</f>
        <v/>
      </c>
      <c r="E4" s="284">
        <f>E$3</f>
        <v/>
      </c>
      <c r="F4" s="284">
        <f>F$3</f>
        <v/>
      </c>
      <c r="G4" s="284">
        <f>G$3</f>
        <v/>
      </c>
      <c r="H4" s="284">
        <f>H$3</f>
        <v/>
      </c>
    </row>
    <row r="5" ht="39.65" customHeight="1">
      <c r="A5" s="160" t="inlineStr">
        <is>
          <t>单元测评结果（符合/部分符合/不符合/不适用）</t>
        </is>
      </c>
      <c r="B5" s="277" t="n"/>
      <c r="C5" s="284">
        <f>IF(C$3="N/A","不适用",IF(C$3=1,"符合",IF(C$3=0,"不符合","部分符合")))</f>
        <v/>
      </c>
      <c r="D5" s="284">
        <f>IF(D$3="N/A","不适用",IF(D$3=1,"符合",IF(D$3=0,"不符合","部分符合")))</f>
        <v/>
      </c>
      <c r="E5" s="284">
        <f>IF(E$3="N/A","不适用",IF(E$3=1,"符合",IF(E$3=0,"不符合","部分符合")))</f>
        <v/>
      </c>
      <c r="F5" s="284">
        <f>IF(F$3="N/A","不适用",IF(F$3=1,"符合",IF(F$3=0,"不符合","部分符合")))</f>
        <v/>
      </c>
      <c r="G5" s="284">
        <f>IF(G$3="N/A","不适用",IF(G$3=1,"符合",IF(G$3=0,"不符合","部分符合")))</f>
        <v/>
      </c>
      <c r="H5" s="284">
        <f>IF(H$3="N/A","不适用",IF(H$3=1,"符合",IF(H$3=0,"不符合","部分符合")))</f>
        <v/>
      </c>
    </row>
    <row r="6">
      <c r="B6" s="6" t="inlineStr">
        <is>
          <t>所占分值</t>
        </is>
      </c>
      <c r="C6" s="6">
        <f>IF(C5="不适用","N/A",整体测评!$O25)</f>
        <v/>
      </c>
      <c r="D6" s="6">
        <f>IF(D5="不适用","N/A",整体测评!$O26)</f>
        <v/>
      </c>
      <c r="E6" s="6">
        <f>IF(E5="不适用","N/A",整体测评!$O27)</f>
        <v/>
      </c>
      <c r="F6" s="6">
        <f>IF(F5="不适用","N/A",整体测评!$O28)</f>
        <v/>
      </c>
      <c r="G6" s="6">
        <f>IF(G5="不适用","N/A",整体测评!$O29)</f>
        <v/>
      </c>
      <c r="H6" s="6">
        <f>IF(H5="不适用","N/A",整体测评!$O30)</f>
        <v/>
      </c>
    </row>
    <row r="7">
      <c r="B7" s="6" t="inlineStr">
        <is>
          <t>已得分值</t>
        </is>
      </c>
      <c r="C7" s="6">
        <f>IF(C5="不适用","N/A",C4*C6)</f>
        <v/>
      </c>
      <c r="D7" s="6">
        <f>IF(D5="不适用","N/A",D4*D6)</f>
        <v/>
      </c>
      <c r="E7" s="6">
        <f>IF(E5="不适用","N/A",E4*E6)</f>
        <v/>
      </c>
      <c r="F7" s="6">
        <f>IF(F5="不适用","N/A",F4*F6)</f>
        <v/>
      </c>
      <c r="G7" s="6">
        <f>IF(G5="不适用","N/A",G4*G6)</f>
        <v/>
      </c>
      <c r="H7" s="6">
        <f>IF(H5="不适用","N/A",H4*H6)</f>
        <v/>
      </c>
    </row>
    <row r="8">
      <c r="B8" s="6" t="inlineStr">
        <is>
          <t>丢失分值</t>
        </is>
      </c>
      <c r="C8" s="6">
        <f>IF(C5="不适用","N/A",C6-C7)</f>
        <v/>
      </c>
      <c r="D8" s="6">
        <f>IF(D5="不适用","N/A",D6-D7)</f>
        <v/>
      </c>
      <c r="E8" s="6">
        <f>IF(E5="不适用","N/A",E6-E7)</f>
        <v/>
      </c>
      <c r="F8" s="6">
        <f>IF(F5="不适用","N/A",F6-F7)</f>
        <v/>
      </c>
      <c r="G8" s="6">
        <f>IF(G5="不适用","N/A",G6-G7)</f>
        <v/>
      </c>
      <c r="H8" s="6">
        <f>IF(H5="不适用","N/A",H6-H7)</f>
        <v/>
      </c>
    </row>
  </sheetData>
  <mergeCells count="5">
    <mergeCell ref="A4:B4"/>
    <mergeCell ref="A5:B5"/>
    <mergeCell ref="B1:B2"/>
    <mergeCell ref="C1:H1"/>
    <mergeCell ref="A1:A2"/>
  </mergeCells>
  <dataValidations count="1">
    <dataValidation sqref="C3:H3" showDropDown="0" showInputMessage="1" showErrorMessage="1" allowBlank="1" type="list">
      <formula1>"0,0.5,1,N/A"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E6" sqref="E6"/>
    </sheetView>
  </sheetViews>
  <sheetFormatPr baseColWidth="8" defaultColWidth="9.0703125" defaultRowHeight="14.15"/>
  <cols>
    <col width="9.0703125" customWidth="1" style="1" min="1" max="1"/>
    <col width="23.85546875" customWidth="1" style="1" min="2" max="2"/>
    <col width="21" customWidth="1" style="1" min="3" max="3"/>
    <col width="18.85546875" customWidth="1" style="1" min="4" max="4"/>
    <col width="19.5" customWidth="1" style="1" min="5" max="5"/>
    <col width="19.5703125" customWidth="1" style="1" min="6" max="6"/>
    <col width="18.0703125" customWidth="1" style="1" min="7" max="7"/>
    <col width="9.0703125" customWidth="1" style="1" min="8" max="16384"/>
  </cols>
  <sheetData>
    <row r="1">
      <c r="A1" s="162" t="inlineStr">
        <is>
          <t>序号</t>
        </is>
      </c>
      <c r="B1" s="159" t="inlineStr">
        <is>
          <t>测评对象</t>
        </is>
      </c>
      <c r="C1" s="159" t="inlineStr">
        <is>
          <t>测评指标符合情况（符合/部分符合/不符合/不适用）</t>
        </is>
      </c>
      <c r="D1" s="276" t="n"/>
      <c r="E1" s="276" t="n"/>
      <c r="F1" s="276" t="n"/>
      <c r="G1" s="277" t="n"/>
    </row>
    <row r="2" ht="27.45" customHeight="1">
      <c r="A2" s="278" t="n"/>
      <c r="B2" s="278" t="n"/>
      <c r="C2" s="9" t="inlineStr">
        <is>
          <t>了解并遵守密码相关法律法规和密码管理制度</t>
        </is>
      </c>
      <c r="D2" s="9" t="inlineStr">
        <is>
          <t>建立密码应用岗位责任制度</t>
        </is>
      </c>
      <c r="E2" s="9" t="inlineStr">
        <is>
          <t>建立上岗人员培训制度</t>
        </is>
      </c>
      <c r="F2" s="9" t="inlineStr">
        <is>
          <t>定期进行安全岗位人员考核</t>
        </is>
      </c>
      <c r="G2" s="9" t="inlineStr">
        <is>
          <t>建立关键岗位人员保密制度和调离制度</t>
        </is>
      </c>
    </row>
    <row r="3" ht="58.95" customHeight="1">
      <c r="A3" s="160" t="n">
        <v>1</v>
      </c>
      <c r="B3" s="10" t="inlineStr">
        <is>
          <t>管理体系（包括安全管理制度类文档、记录表单类文档、系统相关人员）</t>
        </is>
      </c>
      <c r="C3" s="160" t="n">
        <v>1</v>
      </c>
      <c r="D3" s="160" t="n">
        <v>1</v>
      </c>
      <c r="E3" s="160" t="n">
        <v>1</v>
      </c>
      <c r="F3" s="160" t="n">
        <v>1</v>
      </c>
      <c r="G3" s="160" t="n">
        <v>1</v>
      </c>
    </row>
    <row r="4" ht="39.65" customHeight="1">
      <c r="A4" s="164" t="inlineStr">
        <is>
          <t>测评单元得分Si,j</t>
        </is>
      </c>
      <c r="B4" s="226" t="n"/>
      <c r="C4" s="284">
        <f>C$3</f>
        <v/>
      </c>
      <c r="D4" s="284">
        <f>D$3</f>
        <v/>
      </c>
      <c r="E4" s="284">
        <f>E$3</f>
        <v/>
      </c>
      <c r="F4" s="284">
        <f>F$3</f>
        <v/>
      </c>
      <c r="G4" s="284">
        <f>G$3</f>
        <v/>
      </c>
    </row>
    <row r="5" ht="39.65" customHeight="1">
      <c r="A5" s="164" t="inlineStr">
        <is>
          <t>单元测评结果（符合/部分符合/不符合/不适用）</t>
        </is>
      </c>
      <c r="B5" s="226" t="n"/>
      <c r="C5" s="284">
        <f>IF(C$3="N/A","不适用",IF(C$3=1,"符合",IF(C$3=0,"不符合","部分符合")))</f>
        <v/>
      </c>
      <c r="D5" s="284">
        <f>IF(D$3="N/A","不适用",IF(D$3=1,"符合",IF(D$3=0,"不符合","部分符合")))</f>
        <v/>
      </c>
      <c r="E5" s="284">
        <f>IF(E$3="N/A","不适用",IF(E$3=1,"符合",IF(E$3=0,"不符合","部分符合")))</f>
        <v/>
      </c>
      <c r="F5" s="284">
        <f>IF(F$3="N/A","不适用",IF(F$3=1,"符合",IF(F$3=0,"不符合","部分符合")))</f>
        <v/>
      </c>
      <c r="G5" s="284">
        <f>IF(G$3="N/A","不适用",IF(G$3=1,"符合",IF(G$3=0,"不符合","部分符合")))</f>
        <v/>
      </c>
    </row>
    <row r="6">
      <c r="B6" s="6" t="inlineStr">
        <is>
          <t>所占分值</t>
        </is>
      </c>
      <c r="C6" s="6">
        <f>IF(C5="不适用","N/A",整体测评!$O31)</f>
        <v/>
      </c>
      <c r="D6" s="6">
        <f>IF(D5="不适用","N/A",整体测评!$O32)</f>
        <v/>
      </c>
      <c r="E6" s="6">
        <f>IF(E5="不适用","N/A",整体测评!$O33)</f>
        <v/>
      </c>
      <c r="F6" s="6">
        <f>IF(F5="不适用","N/A",整体测评!$O34)</f>
        <v/>
      </c>
      <c r="G6" s="6">
        <f>IF(G5="不适用","N/A",整体测评!$O35)</f>
        <v/>
      </c>
    </row>
    <row r="7">
      <c r="B7" s="6" t="inlineStr">
        <is>
          <t>已得分值</t>
        </is>
      </c>
      <c r="C7" s="6">
        <f>IF(C5="不适用","N/A",C4*C6)</f>
        <v/>
      </c>
      <c r="D7" s="6">
        <f>IF(D5="不适用","N/A",D4*D6)</f>
        <v/>
      </c>
      <c r="E7" s="6">
        <f>IF(E5="不适用","N/A",E4*E6)</f>
        <v/>
      </c>
      <c r="F7" s="6">
        <f>IF(F5="不适用","N/A",F4*F6)</f>
        <v/>
      </c>
      <c r="G7" s="6">
        <f>IF(G5="不适用","N/A",G4*G6)</f>
        <v/>
      </c>
    </row>
    <row r="8">
      <c r="B8" s="6" t="inlineStr">
        <is>
          <t>丢失分值</t>
        </is>
      </c>
      <c r="C8" s="6">
        <f>IF(C5="不适用","N/A",C6-C7)</f>
        <v/>
      </c>
      <c r="D8" s="6">
        <f>IF(D5="不适用","N/A",D6-D7)</f>
        <v/>
      </c>
      <c r="E8" s="6">
        <f>IF(E5="不适用","N/A",E6-E7)</f>
        <v/>
      </c>
      <c r="F8" s="6">
        <f>IF(F5="不适用","N/A",F6-F7)</f>
        <v/>
      </c>
      <c r="G8" s="6">
        <f>IF(G5="不适用","N/A",G6-G7)</f>
        <v/>
      </c>
    </row>
  </sheetData>
  <mergeCells count="5">
    <mergeCell ref="A4:B4"/>
    <mergeCell ref="C1:G1"/>
    <mergeCell ref="A5:B5"/>
    <mergeCell ref="B1:B2"/>
    <mergeCell ref="A1:A2"/>
  </mergeCells>
  <dataValidations count="1">
    <dataValidation sqref="C3:G3" showDropDown="0" showInputMessage="1" showErrorMessage="1" allowBlank="1" type="list">
      <formula1>"0,0.5,1,N/A"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2" workbookViewId="0">
      <selection activeCell="I14" sqref="I14:I15"/>
    </sheetView>
  </sheetViews>
  <sheetFormatPr baseColWidth="8" defaultColWidth="9.0703125" defaultRowHeight="14.15"/>
  <cols>
    <col width="9.0703125" customWidth="1" style="1" min="1" max="1"/>
    <col width="31.0703125" customWidth="1" style="1" min="2" max="2"/>
    <col width="16.85546875" customWidth="1" style="1" min="3" max="3"/>
    <col width="15.7109375" customWidth="1" style="1" min="4" max="4"/>
    <col width="15.2109375" customWidth="1" style="1" min="5" max="5"/>
    <col width="17.5" customWidth="1" style="1" min="6" max="6"/>
    <col width="18.5" customWidth="1" style="1" min="7" max="7"/>
    <col width="9.0703125" customWidth="1" style="1" min="8" max="16384"/>
  </cols>
  <sheetData>
    <row r="1">
      <c r="A1" s="162" t="inlineStr">
        <is>
          <t>序号</t>
        </is>
      </c>
      <c r="B1" s="159" t="inlineStr">
        <is>
          <t>测评对象</t>
        </is>
      </c>
      <c r="C1" s="159" t="inlineStr">
        <is>
          <t>测评指标符合情况（符合/部分符合/不符合/不适用）</t>
        </is>
      </c>
      <c r="D1" s="276" t="n"/>
      <c r="E1" s="276" t="n"/>
      <c r="F1" s="276" t="n"/>
      <c r="G1" s="277" t="n"/>
    </row>
    <row r="2" ht="41.15" customHeight="1">
      <c r="A2" s="278" t="n"/>
      <c r="B2" s="278" t="n"/>
      <c r="C2" s="7" t="inlineStr">
        <is>
          <t>制定密码应用方案</t>
        </is>
      </c>
      <c r="D2" s="7" t="inlineStr">
        <is>
          <t>制定密钥安全管理策略</t>
        </is>
      </c>
      <c r="E2" s="7" t="inlineStr">
        <is>
          <t>制定实施方案</t>
        </is>
      </c>
      <c r="F2" s="7" t="inlineStr">
        <is>
          <t>投入运行前进行密码应用安全性评估</t>
        </is>
      </c>
      <c r="G2" s="7" t="inlineStr">
        <is>
          <t>定期开展密码应用安全性评估及攻防对抗演习</t>
        </is>
      </c>
    </row>
    <row r="3" ht="75.65000000000001" customHeight="1">
      <c r="A3" s="160" t="n">
        <v>1</v>
      </c>
      <c r="B3" s="8" t="inlineStr">
        <is>
          <t>密码应用方案、密钥管理制度及策略类文档、密码实施方案、密码应用安全性评估报告、密码应用安全管理制度、攻防对抗演习报告、整改文档</t>
        </is>
      </c>
      <c r="C3" s="160" t="n">
        <v>1</v>
      </c>
      <c r="D3" s="160" t="n">
        <v>1</v>
      </c>
      <c r="E3" s="160" t="n">
        <v>0.5</v>
      </c>
      <c r="F3" s="160" t="n">
        <v>0</v>
      </c>
      <c r="G3" s="160" t="n">
        <v>0.5</v>
      </c>
    </row>
    <row r="4" ht="39.65" customHeight="1">
      <c r="A4" s="164" t="inlineStr">
        <is>
          <t>测评单元得分Si,j</t>
        </is>
      </c>
      <c r="B4" s="226" t="n"/>
      <c r="C4" s="284">
        <f>C$3</f>
        <v/>
      </c>
      <c r="D4" s="284">
        <f>D$3</f>
        <v/>
      </c>
      <c r="E4" s="284">
        <f>E$3</f>
        <v/>
      </c>
      <c r="F4" s="284">
        <f>F$3</f>
        <v/>
      </c>
      <c r="G4" s="284">
        <f>G$3</f>
        <v/>
      </c>
    </row>
    <row r="5" ht="39.65" customHeight="1">
      <c r="A5" s="164" t="inlineStr">
        <is>
          <t>单元测评结果（符合/部分符合/不符合/不适用）</t>
        </is>
      </c>
      <c r="B5" s="226" t="n"/>
      <c r="C5" s="284">
        <f>IF(COUNTIF(C$3:C$4,"N/A")=COUNTA(C$3:C$4),"不适用",IF(SUM(C$3:C$4)=COUNTA(C$3:C$4)-COUNTIF(C$3:C$4,"N/A"),"符合",IF(SUM(C$3:C$4)=0,"不符合","部分符合")))</f>
        <v/>
      </c>
      <c r="D5" s="284">
        <f>IF(COUNTIF(D$3:D$4,"N/A")=COUNTA(D$3:D$4),"不适用",IF(SUM(D$3:D$4)=COUNTA(D$3:D$4)-COUNTIF(D$3:D$4,"N/A"),"符合",IF(SUM(D$3:D$4)=0,"不符合","部分符合")))</f>
        <v/>
      </c>
      <c r="E5" s="284">
        <f>IF(COUNTIF(E$3:E$4,"N/A")=COUNTA(E$3:E$4),"不适用",IF(SUM(E$3:E$4)=COUNTA(E$3:E$4)-COUNTIF(E$3:E$4,"N/A"),"符合",IF(SUM(E$3:E$4)=0,"不符合","部分符合")))</f>
        <v/>
      </c>
      <c r="F5" s="284">
        <f>IF(COUNTIF(F$3:F$4,"N/A")=COUNTA(F$3:F$4),"不适用",IF(SUM(F$3:F$4)=COUNTA(F$3:F$4)-COUNTIF(F$3:F$4,"N/A"),"符合",IF(SUM(F$3:F$4)=0,"不符合","部分符合")))</f>
        <v/>
      </c>
      <c r="G5" s="284">
        <f>IF(COUNTIF(G$3:G$4,"N/A")=COUNTA(G$3:G$4),"不适用",IF(SUM(G$3:G$4)=COUNTA(G$3:G$4)-COUNTIF(G$3:G$4,"N/A"),"符合",IF(SUM(G$3:G$4)=0,"不符合","部分符合")))</f>
        <v/>
      </c>
    </row>
    <row r="6">
      <c r="B6" s="6" t="inlineStr">
        <is>
          <t>所占分值</t>
        </is>
      </c>
      <c r="C6" s="6">
        <f>IF(C5="不适用","N/A",整体测评!$O36)</f>
        <v/>
      </c>
      <c r="D6" s="6">
        <f>IF(D5="不适用","N/A",整体测评!$O37)</f>
        <v/>
      </c>
      <c r="E6" s="6">
        <f>IF(E5="不适用","N/A",整体测评!$O38)</f>
        <v/>
      </c>
      <c r="F6" s="6">
        <f>IF(F5="不适用","N/A",整体测评!$O39)</f>
        <v/>
      </c>
      <c r="G6" s="6">
        <f>IF(G5="不适用","N/A",整体测评!$O40)</f>
        <v/>
      </c>
    </row>
    <row r="7">
      <c r="B7" s="6" t="inlineStr">
        <is>
          <t>已得分值</t>
        </is>
      </c>
      <c r="C7" s="6">
        <f>IF(C5="不适用","N/A",C4*C6)</f>
        <v/>
      </c>
      <c r="D7" s="6">
        <f>IF(D5="不适用","N/A",D4*D6)</f>
        <v/>
      </c>
      <c r="E7" s="6">
        <f>IF(E5="不适用","N/A",E4*E6)</f>
        <v/>
      </c>
      <c r="F7" s="6">
        <f>IF(F5="不适用","N/A",F4*F6)</f>
        <v/>
      </c>
      <c r="G7" s="6">
        <f>IF(G5="不适用","N/A",G4*G6)</f>
        <v/>
      </c>
    </row>
    <row r="8">
      <c r="B8" s="6" t="inlineStr">
        <is>
          <t>丢失分值</t>
        </is>
      </c>
      <c r="C8" s="6">
        <f>IF(C5="不适用","N/A",C6-C7)</f>
        <v/>
      </c>
      <c r="D8" s="6">
        <f>IF(D5="不适用","N/A",D6-D7)</f>
        <v/>
      </c>
      <c r="E8" s="6">
        <f>IF(E5="不适用","N/A",E6-E7)</f>
        <v/>
      </c>
      <c r="F8" s="6">
        <f>IF(F5="不适用","N/A",F6-F7)</f>
        <v/>
      </c>
      <c r="G8" s="6">
        <f>IF(G5="不适用","N/A",G6-G7)</f>
        <v/>
      </c>
    </row>
  </sheetData>
  <mergeCells count="5">
    <mergeCell ref="A4:B4"/>
    <mergeCell ref="C1:G1"/>
    <mergeCell ref="A5:B5"/>
    <mergeCell ref="B1:B2"/>
    <mergeCell ref="A1:A2"/>
  </mergeCells>
  <dataValidations count="1">
    <dataValidation sqref="C3:G3" showDropDown="0" showInputMessage="1" showErrorMessage="1" allowBlank="1" type="list">
      <formula1>"0,0.5,1,N/A"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C6" sqref="C6"/>
    </sheetView>
  </sheetViews>
  <sheetFormatPr baseColWidth="8" defaultColWidth="9.0703125" defaultRowHeight="14.15"/>
  <cols>
    <col width="9.0703125" customWidth="1" style="1" min="1" max="1"/>
    <col width="32.35546875" customWidth="1" style="1" min="2" max="2"/>
    <col width="14.0703125" customWidth="1" style="1" min="3" max="3"/>
    <col width="14" customWidth="1" style="1" min="4" max="4"/>
    <col width="17.0703125" customWidth="1" style="1" min="5" max="5"/>
    <col width="9.0703125" customWidth="1" style="1" min="6" max="16384"/>
  </cols>
  <sheetData>
    <row r="1">
      <c r="A1" s="162" t="inlineStr">
        <is>
          <t>序号</t>
        </is>
      </c>
      <c r="B1" s="159" t="inlineStr">
        <is>
          <t>测评对象</t>
        </is>
      </c>
      <c r="C1" s="159" t="inlineStr">
        <is>
          <t>测评指标符合情况（符合/部分符合/不符合/不适用）</t>
        </is>
      </c>
      <c r="D1" s="276" t="n"/>
      <c r="E1" s="277" t="n"/>
    </row>
    <row r="2" ht="27.45" customHeight="1">
      <c r="A2" s="278" t="n"/>
      <c r="B2" s="278" t="n"/>
      <c r="C2" s="2" t="inlineStr">
        <is>
          <t>应急策略</t>
        </is>
      </c>
      <c r="D2" s="2" t="inlineStr">
        <is>
          <t>事件处置</t>
        </is>
      </c>
      <c r="E2" s="2" t="inlineStr">
        <is>
          <t>向有关主管部门上报处置情况</t>
        </is>
      </c>
    </row>
    <row r="3" ht="67.40000000000001" customHeight="1">
      <c r="A3" s="160" t="n">
        <v>1</v>
      </c>
      <c r="B3" s="4" t="inlineStr">
        <is>
          <t>管理体系（包括密码应用应急处置方案、应急处置记录类文档、安全事件发生情况及处置情况报告、系统相关人员）</t>
        </is>
      </c>
      <c r="C3" s="160" t="n">
        <v>1</v>
      </c>
      <c r="D3" s="160" t="n">
        <v>1</v>
      </c>
      <c r="E3" s="160" t="n">
        <v>1</v>
      </c>
    </row>
    <row r="4" ht="39.65" customHeight="1">
      <c r="A4" s="164" t="inlineStr">
        <is>
          <t>测评单元得分Si,j</t>
        </is>
      </c>
      <c r="B4" s="226" t="n"/>
      <c r="C4" s="284">
        <f>C$3</f>
        <v/>
      </c>
      <c r="D4" s="284">
        <f>D$3</f>
        <v/>
      </c>
      <c r="E4" s="284">
        <f>E$3</f>
        <v/>
      </c>
    </row>
    <row r="5" ht="39.65" customHeight="1">
      <c r="A5" s="164" t="inlineStr">
        <is>
          <t>单元测评结果（符合/部分符合/不符合/不适用）</t>
        </is>
      </c>
      <c r="B5" s="226" t="n"/>
      <c r="C5" s="284">
        <f>IF(C$3="N/A","不适用",IF(C$3=1,"符合",IF(C$3=0,"不符合","部分符合")))</f>
        <v/>
      </c>
      <c r="D5" s="284">
        <f>IF(D$3="N/A","不适用",IF(D$3=1,"符合",IF(D$3=0,"不符合","部分符合")))</f>
        <v/>
      </c>
      <c r="E5" s="284">
        <f>IF(E$3="N/A","不适用",IF(E$3=1,"符合",IF(E$3=0,"不符合","部分符合")))</f>
        <v/>
      </c>
    </row>
    <row r="6">
      <c r="B6" s="6" t="inlineStr">
        <is>
          <t>所占分值</t>
        </is>
      </c>
      <c r="C6" s="6">
        <f>IF(C5="不适用","N/A",整体测评!$O41)</f>
        <v/>
      </c>
      <c r="D6" s="6">
        <f>IF(D5="不适用","N/A",整体测评!$O42)</f>
        <v/>
      </c>
      <c r="E6" s="6">
        <f>IF(E5="不适用","N/A",整体测评!$O43)</f>
        <v/>
      </c>
    </row>
    <row r="7">
      <c r="B7" s="6" t="inlineStr">
        <is>
          <t>已得分值</t>
        </is>
      </c>
      <c r="C7" s="6">
        <f>IF(C5="不适用","N/A",C4*C6)</f>
        <v/>
      </c>
      <c r="D7" s="6">
        <f>IF(D5="不适用","N/A",D4*D6)</f>
        <v/>
      </c>
      <c r="E7" s="6">
        <f>IF(E5="不适用","N/A",E4*E6)</f>
        <v/>
      </c>
    </row>
    <row r="8">
      <c r="B8" s="6" t="inlineStr">
        <is>
          <t>丢失分值</t>
        </is>
      </c>
      <c r="C8" s="6">
        <f>IF(C5="不适用","N/A",C6-C7)</f>
        <v/>
      </c>
      <c r="D8" s="6">
        <f>IF(D5="不适用","N/A",D6-D7)</f>
        <v/>
      </c>
      <c r="E8" s="6">
        <f>IF(E5="不适用","N/A",E6-E7)</f>
        <v/>
      </c>
    </row>
  </sheetData>
  <mergeCells count="5">
    <mergeCell ref="A4:B4"/>
    <mergeCell ref="C1:E1"/>
    <mergeCell ref="A5:B5"/>
    <mergeCell ref="B1:B2"/>
    <mergeCell ref="A1:A2"/>
  </mergeCells>
  <dataValidations count="1">
    <dataValidation sqref="C3:E3" showDropDown="0" showInputMessage="1" showErrorMessage="1" allowBlank="1" type="list">
      <formula1>"0,0.5,1,N/A"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shirh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2026-07-13T22:52:32Z</dcterms:modified>
  <cp:lastModifiedBy>宁 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0110106551134B0FB0663A2C794F0C6A_13</vt:lpwstr>
  </property>
  <property name="KSOProductBuildVer" fmtid="{D5CDD505-2E9C-101B-9397-08002B2CF9AE}" pid="3">
    <vt:lpwstr xmlns:vt="http://schemas.openxmlformats.org/officeDocument/2006/docPropsVTypes">2052-11.1.0.15319</vt:lpwstr>
  </property>
</Properties>
</file>